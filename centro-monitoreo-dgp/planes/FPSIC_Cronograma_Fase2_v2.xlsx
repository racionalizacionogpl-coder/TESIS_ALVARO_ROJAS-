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Calendario" sheetId="2" state="visible" r:id="rId4"/>
    <sheet name="Resumen por proceso" sheetId="3" state="visible" r:id="rId5"/>
    <sheet name="Equipo y roles" sheetId="4" state="visible" r:id="rId6"/>
    <sheet name="Revisión" sheetId="5" state="visible" r:id="rId7"/>
  </sheets>
  <definedNames>
    <definedName function="false" hidden="false" localSheetId="0" name="_xlnm.Print_Titles" vbProcedure="false">Cronograma!$10:$10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<sst xmlns="http://schemas.openxmlformats.org/spreadsheetml/2006/main" count="676" uniqueCount="284">
  <si>
    <t xml:space="preserve">CRONOGRAMA DE VISITAS PARA LA DIAGRAMACIÓN DE PROCESOS</t>
  </si>
  <si>
    <t xml:space="preserve">Facultad de Psicología (FPSIC) · Fase 2: documentación y diagramación de procedimientos (Grupo 1)</t>
  </si>
  <si>
    <t xml:space="preserve">Universidad Nacional Mayor de San Marcos · Oficina General de Planificación · Oficina de Racionalización  |  Proyecto P01 · Plan P01-PG-F2 v1.1  |  Versión 2.0 del cronograma · revisada el 15/10/2026</t>
  </si>
  <si>
    <t xml:space="preserve">Sesiones de levantamiento</t>
  </si>
  <si>
    <t xml:space="preserve">Procesos</t>
  </si>
  <si>
    <t xml:space="preserve">Días de visita</t>
  </si>
  <si>
    <t xml:space="preserve">Horas de sesión</t>
  </si>
  <si>
    <t xml:space="preserve">Primera visita</t>
  </si>
  <si>
    <t xml:space="preserve">Última visita</t>
  </si>
  <si>
    <t xml:space="preserve">Sesiones sin confirmar</t>
  </si>
  <si>
    <t xml:space="preserve">REUNIÓN DE APERTURA
Con la Decana y los jefes de las unidades orgánicas · Martes 20/10/2026 · 09:00 a 10:00 · Sala de Sesiones de la FPSIC</t>
  </si>
  <si>
    <t xml:space="preserve">REQUISITO PARA CADA REUNIÓN · La jefatura o su representante relata, el día de la reunión, únicamente la secuencia de pasos que sigue en su día a día para llevar a cabo el procedimiento, y asiste con los documentos que usa en su labor diaria (directivas, instructivos o manuales).</t>
  </si>
  <si>
    <t xml:space="preserve">N.º</t>
  </si>
  <si>
    <t xml:space="preserve">Visita</t>
  </si>
  <si>
    <t xml:space="preserve">Fecha</t>
  </si>
  <si>
    <t xml:space="preserve">Día</t>
  </si>
  <si>
    <t xml:space="preserve">Inicio</t>
  </si>
  <si>
    <t xml:space="preserve">Fin</t>
  </si>
  <si>
    <t xml:space="preserve">Duración</t>
  </si>
  <si>
    <t xml:space="preserve">Código</t>
  </si>
  <si>
    <t xml:space="preserve">Proceso</t>
  </si>
  <si>
    <t xml:space="preserve">Unidad orgánica</t>
  </si>
  <si>
    <t xml:space="preserve">Responsable</t>
  </si>
  <si>
    <t xml:space="preserve">Lugar</t>
  </si>
  <si>
    <t xml:space="preserve">Modalidad</t>
  </si>
  <si>
    <t xml:space="preserve">Enlace alterno (caso de fuerza mayor)</t>
  </si>
  <si>
    <t xml:space="preserve">Equipo OGPL (A: arquitecto · M: modelador · D: documentador)</t>
  </si>
  <si>
    <t xml:space="preserve">Bloque</t>
  </si>
  <si>
    <t xml:space="preserve">Confirmación</t>
  </si>
  <si>
    <t xml:space="preserve">Observaciones</t>
  </si>
  <si>
    <t xml:space="preserve">OCTUBRE 2026</t>
  </si>
  <si>
    <t xml:space="preserve">1.ª visita</t>
  </si>
  <si>
    <t xml:space="preserve">PE.01</t>
  </si>
  <si>
    <t xml:space="preserve">Gestión Estratégica</t>
  </si>
  <si>
    <t xml:space="preserve">Jefatura de la Unidad de Planificación, Presupuesto y Racionalización (UPPR)</t>
  </si>
  <si>
    <t xml:space="preserve">Rosa Guillermina Coaila Moreno</t>
  </si>
  <si>
    <t xml:space="preserve">Sala de Alfombrado</t>
  </si>
  <si>
    <t xml:space="preserve">Presencial</t>
  </si>
  <si>
    <t xml:space="preserve">Google Meet</t>
  </si>
  <si>
    <t xml:space="preserve">Confirmado</t>
  </si>
  <si>
    <t xml:space="preserve">[Fila 7 del original]</t>
  </si>
  <si>
    <t xml:space="preserve">PE.02</t>
  </si>
  <si>
    <t xml:space="preserve">Gestión de la Calidad y Mejora Continua</t>
  </si>
  <si>
    <t xml:space="preserve">Jefatura de la Oficina de Calidad Académica y Acreditación</t>
  </si>
  <si>
    <t xml:space="preserve">Susana Consuelo Roggero Rebaza</t>
  </si>
  <si>
    <t xml:space="preserve">[Fila 8 del original]</t>
  </si>
  <si>
    <t xml:space="preserve">PE.03</t>
  </si>
  <si>
    <t xml:space="preserve">Gestión de Relaciones Interinstitucionales</t>
  </si>
  <si>
    <t xml:space="preserve">Dirección de la Escuela Profesional de Psicología
Dirección de la Escuela Profesional de Psicología Organizacional y de la Gestión Humana
Jefatura de la Unidad de Prácticas Preprofesionales</t>
  </si>
  <si>
    <t xml:space="preserve">Carmen Leni Alvarez Taco
Abel Cuzcano Zapata
Jorge Luis Soto Mateo</t>
  </si>
  <si>
    <t xml:space="preserve">Sesión conjunta. Abel Cuzcano hasta las 16:10; Carmen Alvarez y Jorge Soto hasta las 15:45 (como en el original). [Fila 9–11 del original]</t>
  </si>
  <si>
    <t xml:space="preserve">PM.01</t>
  </si>
  <si>
    <t xml:space="preserve">Gestión de la Formación Académica</t>
  </si>
  <si>
    <t xml:space="preserve">Vicedecanato Académico de Pregrado</t>
  </si>
  <si>
    <t xml:space="preserve">Elisa Beatriz Yanac Reynoso</t>
  </si>
  <si>
    <t xml:space="preserve">[Fila 12 del original]</t>
  </si>
  <si>
    <t xml:space="preserve">PM.02</t>
  </si>
  <si>
    <t xml:space="preserve">Gestión de la Investigación</t>
  </si>
  <si>
    <t xml:space="preserve">Vicedecanato de Investigación y Posgrado</t>
  </si>
  <si>
    <t xml:space="preserve">Carlos Alberto Arenas Iparraguirre</t>
  </si>
  <si>
    <t xml:space="preserve">[Fila 13 del original]</t>
  </si>
  <si>
    <t xml:space="preserve">PM.03</t>
  </si>
  <si>
    <t xml:space="preserve">Gestión de la Responsabilidad y Vinculación Social</t>
  </si>
  <si>
    <t xml:space="preserve">Jefatura del Centro de Responsabilidad Social y Extensión Universitaria</t>
  </si>
  <si>
    <t xml:space="preserve">Carmen Magali Meléndez Jara</t>
  </si>
  <si>
    <t xml:space="preserve">[Fila 14 del original]</t>
  </si>
  <si>
    <t xml:space="preserve">Equipo</t>
  </si>
  <si>
    <t xml:space="preserve">Reunión de coordinación del equipo · no se levantan diagramaciones</t>
  </si>
  <si>
    <t xml:space="preserve">Por definir</t>
  </si>
  <si>
    <t xml:space="preserve">Reunión programada con el equipo. Ese día no se levantan diagramaciones. [Fila 15 del original]</t>
  </si>
  <si>
    <t xml:space="preserve">PS.01</t>
  </si>
  <si>
    <t xml:space="preserve">Gestión de Admisión y Matrícula</t>
  </si>
  <si>
    <t xml:space="preserve">[Fila 16 del original]</t>
  </si>
  <si>
    <t xml:space="preserve">PS.02</t>
  </si>
  <si>
    <t xml:space="preserve">Gestión Documental</t>
  </si>
  <si>
    <t xml:space="preserve">Jefatura de la Unidad de Trámite Documentario y Archivo</t>
  </si>
  <si>
    <t xml:space="preserve">Edith Maribel Collins García</t>
  </si>
  <si>
    <t xml:space="preserve">[Fila 17 del original]</t>
  </si>
  <si>
    <t xml:space="preserve">PS.03</t>
  </si>
  <si>
    <t xml:space="preserve">Gestión de Bienestar Integral</t>
  </si>
  <si>
    <t xml:space="preserve">Jefatura de la Unidad de Bienestar</t>
  </si>
  <si>
    <t xml:space="preserve">Rosa Digna Luna Pérez</t>
  </si>
  <si>
    <t xml:space="preserve">[Fila 18 del original]</t>
  </si>
  <si>
    <t xml:space="preserve">PS.04</t>
  </si>
  <si>
    <t xml:space="preserve">Gestión de Recursos Económicos</t>
  </si>
  <si>
    <t xml:space="preserve">Jefatura de la Unidad de Economía</t>
  </si>
  <si>
    <t xml:space="preserve">Nestor Felipe Chalque Alvarez</t>
  </si>
  <si>
    <t xml:space="preserve">Aula 7D (4.° piso)</t>
  </si>
  <si>
    <t xml:space="preserve">[Fila 19 del original]</t>
  </si>
  <si>
    <t xml:space="preserve">PS.05</t>
  </si>
  <si>
    <t xml:space="preserve">Gestión de Recursos Humanos</t>
  </si>
  <si>
    <t xml:space="preserve">Jefatura de la Unidad de Personal</t>
  </si>
  <si>
    <t xml:space="preserve">Alejandrina Haydee Nario Maguiña</t>
  </si>
  <si>
    <t xml:space="preserve">[Fila 20 del original]</t>
  </si>
  <si>
    <t xml:space="preserve">PS.06</t>
  </si>
  <si>
    <t xml:space="preserve">Gestión de Abastecimiento y Servicios</t>
  </si>
  <si>
    <t xml:space="preserve">Jefatura de la Unidad de Servicios Generales, Operaciones y Mantenimiento</t>
  </si>
  <si>
    <t xml:space="preserve">Jesús Gregorio Huamani Gaspar</t>
  </si>
  <si>
    <t xml:space="preserve">[Fila 21 del original]</t>
  </si>
  <si>
    <t xml:space="preserve">PS.07</t>
  </si>
  <si>
    <t xml:space="preserve">Gestión de Tecnología de la Información</t>
  </si>
  <si>
    <t xml:space="preserve">Área de Estadística e Informática</t>
  </si>
  <si>
    <t xml:space="preserve">Marcelo Alberto La Rosa Romero
Peter Guillermo Agreda Huamán</t>
  </si>
  <si>
    <t xml:space="preserve">Asisten dos integrantes del área. [Fila 22–23 del original]</t>
  </si>
  <si>
    <t xml:space="preserve">PS.08</t>
  </si>
  <si>
    <t xml:space="preserve">Gestión de Recursos Bibliográficos</t>
  </si>
  <si>
    <t xml:space="preserve">Jefatura de la Unidad de Biblioteca, Hemeroteca y Centro de Documentación</t>
  </si>
  <si>
    <t xml:space="preserve">David Chavez La Serna</t>
  </si>
  <si>
    <t xml:space="preserve">[Fila 24 del original]</t>
  </si>
  <si>
    <t xml:space="preserve">OGPL</t>
  </si>
  <si>
    <t xml:space="preserve">Reunión programada con el equipo en la OGPL. Ese día no se levantan diagramaciones. [Fila 25 del original]</t>
  </si>
  <si>
    <t xml:space="preserve">NOVIEMBRE 2026</t>
  </si>
  <si>
    <t xml:space="preserve">PS.10</t>
  </si>
  <si>
    <t xml:space="preserve">Gestión de la Comunicación</t>
  </si>
  <si>
    <t xml:space="preserve">Oficina de Imagen de la FPSIC (encargatura)</t>
  </si>
  <si>
    <t xml:space="preserve">Cristofer Renato Reyes Bruno</t>
  </si>
  <si>
    <t xml:space="preserve">Primera sesión de PS.10. Alvaro Rojas no asiste por reunión de coordinación. [Fila 27 del original]</t>
  </si>
  <si>
    <t xml:space="preserve">2.ª visita</t>
  </si>
  <si>
    <t xml:space="preserve">[Fila 28 del original]</t>
  </si>
  <si>
    <t xml:space="preserve">[Fila 29 del original]</t>
  </si>
  <si>
    <t xml:space="preserve">Sesión conjunta. Abel Cuzcano hasta las 16:10; Carmen Alvarez y Jorge Soto hasta las 15:45 (como en el original). [Fila 30–32 del original]</t>
  </si>
  <si>
    <t xml:space="preserve">[Fila 33 del original]</t>
  </si>
  <si>
    <t xml:space="preserve">[Fila 34 del original]</t>
  </si>
  <si>
    <t xml:space="preserve">[Fila 35 del original]</t>
  </si>
  <si>
    <t xml:space="preserve">[Fila 36 del original]</t>
  </si>
  <si>
    <t xml:space="preserve">[Fila 37 del original]</t>
  </si>
  <si>
    <t xml:space="preserve">[Fila 38 del original]</t>
  </si>
  <si>
    <t xml:space="preserve">Reunión programada con el equipo en la OGPL. Ese día no se levantan diagramaciones. [Fila 39 del original]</t>
  </si>
  <si>
    <t xml:space="preserve">[Fila 40 del original]</t>
  </si>
  <si>
    <t xml:space="preserve">[Fila 41 del original]</t>
  </si>
  <si>
    <t xml:space="preserve">[Fila 42 del original]</t>
  </si>
  <si>
    <t xml:space="preserve">Asisten dos integrantes del área. El original decía «Martes Lunes»: el 10/11/2026 es martes. [Fila 43–44 del original]</t>
  </si>
  <si>
    <t xml:space="preserve">[Fila 45 del original]</t>
  </si>
  <si>
    <t xml:space="preserve">FECHA POR CONFIRMAR: el original decía «Miércoles (4/11/2026)», fuera de orden y a la misma hora que PM.01 de ese día. [Fila 46 del original]</t>
  </si>
  <si>
    <t xml:space="preserve">Notas</t>
  </si>
  <si>
    <t xml:space="preserve">• El día de la semana, la duración, la numeración y el equipo OGPL se calculan solos: edita la fecha, las horas o el número de bloque y el resto se actualiza.</t>
  </si>
  <si>
    <t xml:space="preserve">• El equipo de cada bloque se edita en la hoja «Equipo y roles». La columna «Confirmación» tiene lista desplegable.</t>
  </si>
  <si>
    <t xml:space="preserve">• Las filas en amarillo tienen una fecha por confirmar. La hoja «Revisión» lista las 22 observaciones de la revisión celda a celda del original.</t>
  </si>
  <si>
    <t xml:space="preserve">• Fuente: «FPSIC - CRONOGRAMA PARA DIAGRAMAR PROCESOS DE LAS FACULTADES - FASE 2», elaborado por Alvaro Rojas Carnero; contrastado con el Plan P01-PG-F2 v1.1 y con los horarios y reuniones registrados en el Sistema de Dirección de Gestión de Proyectos.</t>
  </si>
  <si>
    <t xml:space="preserve">CALENDARIO DE VISITAS POR PROCESO</t>
  </si>
  <si>
    <t xml:space="preserve">Días hábiles del 20/10 al 11/11/2026 · 1.ª y 2.ª visita de cada proceso</t>
  </si>
  <si>
    <t xml:space="preserve">Leyenda:  1.ª = primera visita de levantamiento   ·   2.ª = segunda visita   ·   Equipo = reunión de coordinación del equipo (sin levantamiento)   ·   Apert. = reunión de apertura</t>
  </si>
  <si>
    <t xml:space="preserve">Sesiones</t>
  </si>
  <si>
    <t xml:space="preserve">Sesiones del día</t>
  </si>
  <si>
    <t xml:space="preserve">RESUMEN POR PROCESO</t>
  </si>
  <si>
    <t xml:space="preserve">Mapa de procesos estándar (PE, PM y PS) · cobertura de visitas en la FPSIC</t>
  </si>
  <si>
    <t xml:space="preserve">Horas</t>
  </si>
  <si>
    <t xml:space="preserve">Estado</t>
  </si>
  <si>
    <t xml:space="preserve">PS.09</t>
  </si>
  <si>
    <t xml:space="preserve">No figura en el cronograma</t>
  </si>
  <si>
    <t xml:space="preserve">Código vacante: confirma que la FPSIC no tiene este proceso</t>
  </si>
  <si>
    <t xml:space="preserve">—</t>
  </si>
  <si>
    <t xml:space="preserve">Total</t>
  </si>
  <si>
    <t xml:space="preserve">EQUIPO Y ROLES DE LA OGPL</t>
  </si>
  <si>
    <t xml:space="preserve">Quién levanta, modela y documenta cada proceso en la FPSIC</t>
  </si>
  <si>
    <t xml:space="preserve">1. Roles del equipo de diagramación</t>
  </si>
  <si>
    <t xml:space="preserve">Rol</t>
  </si>
  <si>
    <t xml:space="preserve">Función principal en el proyecto</t>
  </si>
  <si>
    <t xml:space="preserve">Actividades específicas</t>
  </si>
  <si>
    <t xml:space="preserve">Arquitecto(a) de procesos</t>
  </si>
  <si>
    <t xml:space="preserve">Liderar las entrevistas de levantamiento con los dueños del proceso, filtrar la problemática operativa y estructurar la secuencia lógica de actividades y reglas de negocio.</t>
  </si>
  <si>
    <t xml:space="preserve">Elicitación de información con las jefaturas; depuración de relatos e identificación de puntos críticos (pain points); definición de reglas de negocio, eventos de inicio y fin y alcance; validación de la lógica y la sintaxis del modelo final.</t>
  </si>
  <si>
    <t xml:space="preserve">Modelador(a) de procesos (BPMN 2.0)</t>
  </si>
  <si>
    <t xml:space="preserve">Traducir la estructura lógica definida por el arquitecto de procesos a la notación gráfica estándar BPMN 2.0.</t>
  </si>
  <si>
    <t xml:space="preserve">Configuración de pools y lanes (carriles de responsabilidad); tipificación de tareas (usuario, servicio, manual, script); modelado de compuertas (exclusivas, paralelas, inclusivas) y eventos intermedios; aseguramiento de las reglas sintácticas de BPMN 2.0.</t>
  </si>
  <si>
    <t xml:space="preserve">Documentador(a) de procesos</t>
  </si>
  <si>
    <t xml:space="preserve">Transcribir la secuencia gráfica validada al formato tabular del procedimiento, detallando paso a paso la ejecución normativa.</t>
  </si>
  <si>
    <t xml:space="preserve">Numeración secuencial trazable con las cajas del diagrama BPMN; asignación del cargo responsable de cada actividad; redacción detallada de la tarea y de los criterios de operación; registro de documentos, formatos o sistemas vinculados (evidencias).</t>
  </si>
  <si>
    <t xml:space="preserve">2. Asignación por bloque (celdas en azul: edítalas y el cronograma se actualiza solo)</t>
  </si>
  <si>
    <t xml:space="preserve">Desde – hasta</t>
  </si>
  <si>
    <t xml:space="preserve">Modelador(a) BPMN</t>
  </si>
  <si>
    <t xml:space="preserve">Documentador(a)</t>
  </si>
  <si>
    <t xml:space="preserve">Nota</t>
  </si>
  <si>
    <t xml:space="preserve">Bloque 1</t>
  </si>
  <si>
    <t xml:space="preserve">21/10 – 22/10</t>
  </si>
  <si>
    <t xml:space="preserve">Alvaro Rojas Carnero</t>
  </si>
  <si>
    <t xml:space="preserve">Isabel Flores Huamaní</t>
  </si>
  <si>
    <t xml:space="preserve">Oriol Romero Saavedra</t>
  </si>
  <si>
    <t xml:space="preserve">Filas 7 a 14 del original</t>
  </si>
  <si>
    <t xml:space="preserve">Bloque 2</t>
  </si>
  <si>
    <t xml:space="preserve">27/10 – 29/10</t>
  </si>
  <si>
    <t xml:space="preserve">Leomar Bonzano Chavez</t>
  </si>
  <si>
    <t xml:space="preserve">Filas 16 a 24</t>
  </si>
  <si>
    <t xml:space="preserve">Bloque 3</t>
  </si>
  <si>
    <t xml:space="preserve">02/11 – 05/11</t>
  </si>
  <si>
    <t xml:space="preserve">Filas 27 a 38 · Alvaro Rojas no asiste el 02/11 por reunión de coordinación (nota del original)</t>
  </si>
  <si>
    <t xml:space="preserve">Bloque 4</t>
  </si>
  <si>
    <t xml:space="preserve">09/11 – 11/11</t>
  </si>
  <si>
    <t xml:space="preserve">Filas 40 a 46</t>
  </si>
  <si>
    <t xml:space="preserve">Nota: el original no indica quién asiste a cada sesión; se interpretó que las columnas J a M describen el equipo de cada bloque. Leomar Bonzano Chavez no figura en el plan de la Fase 2 ni en el sistema.</t>
  </si>
  <si>
    <t xml:space="preserve">REVISIÓN CELDA A CELDA DEL CRONOGRAMA ORIGINAL</t>
  </si>
  <si>
    <t xml:space="preserve">Incoherencias encontradas y tratamiento en la versión 2.0</t>
  </si>
  <si>
    <t xml:space="preserve">Severidad alta</t>
  </si>
  <si>
    <t xml:space="preserve">Severidad media</t>
  </si>
  <si>
    <t xml:space="preserve">Severidad baja</t>
  </si>
  <si>
    <t xml:space="preserve">Corregidas en la versión 2.0</t>
  </si>
  <si>
    <t xml:space="preserve">Pendientes de tu decisión o confirmación</t>
  </si>
  <si>
    <t xml:space="preserve">Severidad</t>
  </si>
  <si>
    <t xml:space="preserve">Tipo</t>
  </si>
  <si>
    <t xml:space="preserve">Celdas del original</t>
  </si>
  <si>
    <t xml:space="preserve">Hallazgo</t>
  </si>
  <si>
    <t xml:space="preserve">Tratamiento en la versión 2.0</t>
  </si>
  <si>
    <t xml:space="preserve">Alta</t>
  </si>
  <si>
    <t xml:space="preserve">I46</t>
  </si>
  <si>
    <t xml:space="preserve">La segunda sesión de PS.10 dice «Miércoles (4/11/2026)»: queda fuera del orden cronológico (va después del 10/11) y cae a las 9:30, la misma hora en que ese día se levanta PM.01 con el mismo equipo.</t>
  </si>
  <si>
    <t xml:space="preserve">Se pasó al miércoles 11/11/2026, de 9:30 a 11:10, que es el día hábil siguiente. Confirma la fecha.</t>
  </si>
  <si>
    <t xml:space="preserve">Por confirmar</t>
  </si>
  <si>
    <t xml:space="preserve">I43</t>
  </si>
  <si>
    <t xml:space="preserve">«MARTES LUNES (10/11/2026)» nombra dos días. El 10/11/2026 es martes.</t>
  </si>
  <si>
    <t xml:space="preserve">Se dejó «Martes». El día de la semana ahora se calcula con una fórmula a partir de la fecha.</t>
  </si>
  <si>
    <t xml:space="preserve">Corregido</t>
  </si>
  <si>
    <t xml:space="preserve">Coherencia con el plan</t>
  </si>
  <si>
    <t xml:space="preserve">I27:I46 · Plan F2 secciones 9 y 14 (D-05)</t>
  </si>
  <si>
    <t xml:space="preserve">La segunda ronda de visitas (02/11 al 11/11) cae en la semana del análisis To-Be del Grupo 1 (02/11 al 06/11) y el hito H2 (To-Be del Grupo 1) vence el 06/11, antes de que termine esta ronda.</t>
  </si>
  <si>
    <t xml:space="preserve">Sin cambio: decide si la segunda ronda reemplaza o desplaza el To-Be. Si se mueve el hito más de 5 días hábiles, es una solicitud de cambio (sección 9.3).</t>
  </si>
  <si>
    <t xml:space="preserve">Por decidir</t>
  </si>
  <si>
    <t xml:space="preserve">J40:M46 · Plan F2 secciones 7.1 y 14 (D-06)</t>
  </si>
  <si>
    <t xml:space="preserve">Del 09/11 al 11/11 Isabel Flores y Oriol Romero siguen en la FPSIC, pero el plan los asigna desde el 09/11 al Grupo 2: Isabel a la FIEE y Oriol a la FCA.</t>
  </si>
  <si>
    <t xml:space="preserve">Sin cambio: hay que mover estas sesiones o ajustar el inicio del Grupo 2.</t>
  </si>
  <si>
    <t xml:space="preserve">J7 · Plan F2 D-04</t>
  </si>
  <si>
    <t xml:space="preserve">Alvaro Rojas figura como arquitecto en la FPSIC el 21 y 22/10, cuando el plan lo asigna en paralelo a la FDCP del 19/10 al 30/10.</t>
  </si>
  <si>
    <t xml:space="preserve">Sin cambio: confirma si esos días deja la FDCP o si se reprograman sus visitas allí.</t>
  </si>
  <si>
    <t xml:space="preserve">Cruce con clases</t>
  </si>
  <si>
    <t xml:space="preserve">G9, G21, G35, G42 (sesiones de la tarde)</t>
  </si>
  <si>
    <t xml:space="preserve">Según los horarios cargados en el sistema, Isabel Flores tiene clases los lunes y miércoles de 14:00 a 18:00. Choca con PE.03 (mié 21/10, 14:30–16:10), PS.06 (mié 28/10), PM.03 (mié 04/11) y PS.06 (lun 09/11).</t>
  </si>
  <si>
    <t xml:space="preserve">Sin cambio: mueve esas sesiones a la mañana o asigna a otra persona.</t>
  </si>
  <si>
    <t xml:space="preserve">Cruce con reuniones</t>
  </si>
  <si>
    <t xml:space="preserve">G14, G38, G20, G46</t>
  </si>
  <si>
    <t xml:space="preserve">Choca con reuniones ya programadas en el sistema: seguimiento de P01 los jueves 22/10 y 05/11 de 14:30 a 15:30 (Alvaro, Isabel y Oriol) frente a PM.03 y PS.03; seguimiento de P02 el miércoles 28/10 de 11:00 a 12:00 (Oriol) frente a PS.05; y P02 el 11/11 de 11:00 a 12:00 frente a PS.10 (se cruzan 10 minutos).</t>
  </si>
  <si>
    <t xml:space="preserve">Sin cambio: reprograma la reunión de seguimiento o la sesión.</t>
  </si>
  <si>
    <t xml:space="preserve">Media</t>
  </si>
  <si>
    <t xml:space="preserve">Alcance</t>
  </si>
  <si>
    <t xml:space="preserve">B24 → B27</t>
  </si>
  <si>
    <t xml:space="preserve">No aparece PS.09. El plan de la Fase 2 habla de 16 procesos y aquí hay 15. Por la regla de codificación de la Fase 1, el código puede quedar vacante si la facultad no tiene ese proceso.</t>
  </si>
  <si>
    <t xml:space="preserve">Se dejó una fila de control en el Resumen por proceso. Confirma que la FPSIC no tiene PS.09.</t>
  </si>
  <si>
    <t xml:space="preserve">Secuencia</t>
  </si>
  <si>
    <t xml:space="preserve">B27, I27</t>
  </si>
  <si>
    <t xml:space="preserve">PS.10 no tiene sesión en la primera ronda: su primera visita es el 02/11, dentro de la segunda ronda.</t>
  </si>
  <si>
    <t xml:space="preserve">Se marcó el 02/11 como su 1.ª visita y el 11/11 como la 2.ª.</t>
  </si>
  <si>
    <t xml:space="preserve">Horario</t>
  </si>
  <si>
    <t xml:space="preserve">G9:G11, G30:G32</t>
  </si>
  <si>
    <t xml:space="preserve">PE.03 es una sesión conjunta de tres responsables que empiezan a la misma hora, pero Abel Cuzcano termina a las 16:10 y los otros dos a las 15:45.</t>
  </si>
  <si>
    <t xml:space="preserve">Se dejó la sesión de 14:30 a 16:10 con la diferencia anotada. Confirma si es una sola sesión.</t>
  </si>
  <si>
    <t xml:space="preserve">H4 · Plan F2 hito H1</t>
  </si>
  <si>
    <t xml:space="preserve">La reunión de apertura es el martes 20/10; el plan fija la coordinación con la FPSIC el 16/10 y el levantamiento desde el 19/10. Aquí las visitas empiezan el 21/10.</t>
  </si>
  <si>
    <t xml:space="preserve">Sin cambio en el cronograma. Son 2 días hábiles de diferencia: no llega al umbral de 5 días para una solicitud de cambio, pero conviene actualizar las secciones 9 y 14 del plan.</t>
  </si>
  <si>
    <t xml:space="preserve">J22, J34, J44</t>
  </si>
  <si>
    <t xml:space="preserve">Leomar Bonzano Chavez no figura en el plan de la Fase 2 (sección 7) ni en el equipo registrado en el sistema.</t>
  </si>
  <si>
    <t xml:space="preserve">Se mantuvo como documentador. Confirma su incorporación para registrarlo.</t>
  </si>
  <si>
    <t xml:space="preserve">J27:M46</t>
  </si>
  <si>
    <t xml:space="preserve">En noviembre las celdas combinadas de las columnas J a M no coinciden con los días (J27:J29 abarca el 02/11 y parte del 03/11; J30:J33, el 03/11 y el 04/11; J34:J38, el 04/11 y el 05/11). No queda claro quién asiste a cada sesión.</t>
  </si>
  <si>
    <t xml:space="preserve">Se interpretó como el equipo de cada bloque (arquitecto, modelador y documentador) y se pasó a la hoja «Equipo y roles».</t>
  </si>
  <si>
    <t xml:space="preserve">K16, K27, K40</t>
  </si>
  <si>
    <t xml:space="preserve">Isabel Flores aparece como «Analista de Procesos Senior / Arquitecto de Procesos», pero en el plan (sección 7.2) y en el organigrama es Analista Técnico en Relevamiento (junior); el Analista Senior es Alvaro Rojas.</t>
  </si>
  <si>
    <t xml:space="preserve">Se usó el rol «Arquitecto(a) de procesos» sin la palabra «Senior».</t>
  </si>
  <si>
    <t xml:space="preserve">D48</t>
  </si>
  <si>
    <t xml:space="preserve">La nota dice que Alvaro Rojas no asiste el 02/11, pero desde el 27/10 ya no figura en el equipo de la FPSIC.</t>
  </si>
  <si>
    <t xml:space="preserve">Se dejó la nota en la sesión del 02/11. Aclara si Alvaro participa en algún día de noviembre.</t>
  </si>
  <si>
    <t xml:space="preserve">Reuniones de equipo</t>
  </si>
  <si>
    <t xml:space="preserve">B15, I15, B25, B39</t>
  </si>
  <si>
    <t xml:space="preserve">La reunión de equipo del lunes 26/10 no tiene lugar ni hora; las del 30/10 y 06/11 son en la OGPL, sin hora. La semana del 26/10 tiene dos reuniones de equipo y la del 19/10, ninguna (el viernes 23/10 queda libre).</t>
  </si>
  <si>
    <t xml:space="preserve">Se registraron como días sin levantamiento. Indica la hora para cargarlas en la agenda.</t>
  </si>
  <si>
    <t xml:space="preserve">Baja</t>
  </si>
  <si>
    <t xml:space="preserve">Datos</t>
  </si>
  <si>
    <t xml:space="preserve">H7:H46</t>
  </si>
  <si>
    <t xml:space="preserve">Todas las sesiones figuran como confirmadas, incluidas las de noviembre.</t>
  </si>
  <si>
    <t xml:space="preserve">Se dejó «Confirmado» con una lista desplegable (Confirmado, Pendiente, Reprogramar) para actualizarlo.</t>
  </si>
  <si>
    <t xml:space="preserve">J15, J25, J39</t>
  </si>
  <si>
    <t xml:space="preserve">Las filas de reunión de equipo tienen un valor VERDADERO suelto en la columna «Integrante».</t>
  </si>
  <si>
    <t xml:space="preserve">Se quitó.</t>
  </si>
  <si>
    <t xml:space="preserve">Formato</t>
  </si>
  <si>
    <t xml:space="preserve">G4, H4</t>
  </si>
  <si>
    <t xml:space="preserve">El horario de la apertura está como «9:00 am 10 am» y la fecha con espacios («20/ 10/ 2026»); las demás horas mezclan formatos («9:30 am - 11:10 am »).</t>
  </si>
  <si>
    <t xml:space="preserve">Fechas y horas en formato de Excel (dd/mm/aaaa y hh:mm) y duración calculada.</t>
  </si>
  <si>
    <t xml:space="preserve">Redacción</t>
  </si>
  <si>
    <t xml:space="preserve">D12, D16, D33, D36 · D13, D34</t>
  </si>
  <si>
    <t xml:space="preserve">«VICEDECANA ACADÉMICO DE PREGRADO» mezcla femenino y masculino; «VICEDECANATO DE INVESTIGACIÓN Y POSGRADO» nombra una oficina y no un cargo, a diferencia de las demás filas.</t>
  </si>
  <si>
    <t xml:space="preserve">Se uniformó la columna con el nombre de cada unidad orgánica (Vicedecanato, Jefatura, Dirección).</t>
  </si>
  <si>
    <t xml:space="preserve">I4, F5, B15, B25, B39, I7, I19, I27, N19, N28, D48, B4</t>
  </si>
  <si>
    <t xml:space="preserve">Errores: «Seciones», «REQUERIMENTOS», «DIGRAMACIÓN» y «DIGRAMACIONES», «CON EL EQUIPO CON EL EQUIPO», «Miercoles», «Lune *», «4 piso», «No Hacite», «Cordinación» y «ORGANICAS».</t>
  </si>
  <si>
    <t xml:space="preserve">Se corrigieron todos.</t>
  </si>
  <si>
    <t xml:space="preserve">F7, F16, F27, F40</t>
  </si>
  <si>
    <t xml:space="preserve">El mismo requisito para los jefes se repite cuatro veces.</t>
  </si>
  <si>
    <t xml:space="preserve">Se escribe una sola vez, en el encabezado del cronograma.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</si>
</sst>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0.0&quot; h&quot;"/>
    <numFmt numFmtId="167" formatCode="dd/mm/yyyy"/>
    <numFmt numFmtId="168" formatCode="General"/>
    <numFmt numFmtId="169" formatCode="hh:mm"/>
    <numFmt numFmtId="170" formatCode="[h]:mm"/>
    <numFmt numFmtId="171" formatCode="dd/mm"/>
    <numFmt numFmtId="172" formatCode="0;;&quot;&quot;"/>
    <numFmt numFmtId="173" formatCode="dd/mm/yyyy;;\—"/>
    <numFmt numFmtId="174" formatCode="0.0&quot; h&quot;;;\—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.5"/>
      <color rgb="FF7B2233"/>
      <name val="Arial"/>
      <family val="0"/>
      <charset val="1"/>
    </font>
    <font>
      <sz val="8.5"/>
      <color rgb="FF5B6475"/>
      <name val="Arial"/>
      <family val="0"/>
      <charset val="1"/>
    </font>
    <font>
      <b val="true"/>
      <sz val="8.5"/>
      <color rgb="FF5B6475"/>
      <name val="Arial"/>
      <family val="0"/>
      <charset val="1"/>
    </font>
    <font>
      <b val="true"/>
      <sz val="17"/>
      <color rgb="FF14315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4315F"/>
      <name val="Arial"/>
      <family val="0"/>
      <charset val="1"/>
    </font>
    <font>
      <b val="true"/>
      <sz val="9"/>
      <color rgb="FF1F2937"/>
      <name val="Arial"/>
      <family val="0"/>
      <charset val="1"/>
    </font>
    <font>
      <u val="single"/>
      <sz val="9"/>
      <color rgb="FF1D4ED8"/>
      <name val="Arial"/>
      <family val="0"/>
      <charset val="1"/>
    </font>
    <font>
      <b val="true"/>
      <sz val="9.5"/>
      <color rgb="FF7B2233"/>
      <name val="Arial"/>
      <family val="0"/>
      <charset val="1"/>
    </font>
    <font>
      <b val="true"/>
      <sz val="9"/>
      <color rgb="FF14315F"/>
      <name val="Arial"/>
      <family val="0"/>
      <charset val="1"/>
    </font>
    <font>
      <b val="true"/>
      <sz val="8.5"/>
      <color rgb="FF14315F"/>
      <name val="Arial"/>
      <family val="0"/>
      <charset val="1"/>
    </font>
    <font>
      <b val="true"/>
      <sz val="7.5"/>
      <color rgb="FF7B2233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9.5"/>
      <color rgb="FF14315F"/>
      <name val="Arial"/>
      <family val="0"/>
      <charset val="1"/>
    </font>
    <font>
      <b val="true"/>
      <sz val="10.5"/>
      <color rgb="FF14315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.5"/>
      <color rgb="FF5B6475"/>
      <name val="Arial"/>
      <family val="0"/>
      <charset val="1"/>
    </font>
    <font>
      <b val="true"/>
      <sz val="8.5"/>
      <color rgb="FF991B1B"/>
      <name val="Arial"/>
      <family val="0"/>
      <charset val="1"/>
    </font>
    <font>
      <b val="true"/>
      <sz val="8.5"/>
      <color rgb="FF92400E"/>
      <name val="Arial"/>
      <family val="0"/>
      <charset val="1"/>
    </font>
    <font>
      <b val="true"/>
      <sz val="8.5"/>
      <color rgb="FF166534"/>
      <name val="Arial"/>
      <family val="0"/>
      <charset val="1"/>
    </font>
    <font>
      <b val="true"/>
      <sz val="17"/>
      <color rgb="FF991B1B"/>
      <name val="Arial"/>
      <family val="0"/>
      <charset val="1"/>
    </font>
    <font>
      <b val="true"/>
      <sz val="17"/>
      <color rgb="FF92400E"/>
      <name val="Arial"/>
      <family val="0"/>
      <charset val="1"/>
    </font>
    <font>
      <b val="true"/>
      <sz val="17"/>
      <color rgb="FF5B6475"/>
      <name val="Arial"/>
      <family val="0"/>
      <charset val="1"/>
    </font>
    <font>
      <b val="true"/>
      <sz val="17"/>
      <color rgb="FF16653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4315F"/>
        <bgColor rgb="FF1F2937"/>
      </patternFill>
    </fill>
    <fill>
      <patternFill patternType="solid">
        <fgColor rgb="FFFFFFFF"/>
        <bgColor rgb="FFF7F9FC"/>
      </patternFill>
    </fill>
    <fill>
      <patternFill patternType="solid">
        <fgColor rgb="FF7B2233"/>
        <bgColor rgb="FF991B1B"/>
      </patternFill>
    </fill>
    <fill>
      <patternFill patternType="solid">
        <fgColor rgb="FFE8EEF7"/>
        <bgColor rgb="FFEEF0F3"/>
      </patternFill>
    </fill>
    <fill>
      <patternFill patternType="solid">
        <fgColor rgb="FFF6E9EC"/>
        <bgColor rgb="FFEEF0F3"/>
      </patternFill>
    </fill>
    <fill>
      <patternFill patternType="solid">
        <fgColor rgb="FFF7F9FC"/>
        <bgColor rgb="FFFFFFFF"/>
      </patternFill>
    </fill>
    <fill>
      <patternFill patternType="solid">
        <fgColor rgb="FFEEF0F3"/>
        <bgColor rgb="FFE8EEF7"/>
      </patternFill>
    </fill>
    <fill>
      <patternFill patternType="solid">
        <fgColor rgb="FFFDE2E2"/>
        <bgColor rgb="FFF6E9EC"/>
      </patternFill>
    </fill>
    <fill>
      <patternFill patternType="solid">
        <fgColor rgb="FFFEF3C7"/>
        <bgColor rgb="FFF6E9EC"/>
      </patternFill>
    </fill>
    <fill>
      <patternFill patternType="solid">
        <fgColor rgb="FFDCF2E3"/>
        <bgColor rgb="FFE8EE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  <border diagonalUp="false" diagonalDown="false">
      <left style="thin">
        <color rgb="FFC9D2E0"/>
      </left>
      <right style="thin">
        <color rgb="FFC9D2E0"/>
      </right>
      <top style="thin">
        <color rgb="FFC9D2E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9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5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6" fillId="11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2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Arial"/>
        <charset val="1"/>
        <family val="0"/>
        <b val="1"/>
        <color rgb="FF166534"/>
      </font>
      <fill>
        <patternFill>
          <bgColor rgb="FFDCF2E3"/>
        </patternFill>
      </fill>
    </dxf>
    <dxf>
      <font>
        <name val="Arial"/>
        <charset val="1"/>
        <family val="0"/>
        <b val="1"/>
        <color rgb="FF92400E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DE2E2"/>
        </patternFill>
      </fill>
    </dxf>
    <dxf>
      <font>
        <name val="Arial"/>
        <charset val="1"/>
        <family val="0"/>
        <b val="1"/>
        <color rgb="FF7B2233"/>
      </font>
    </dxf>
    <dxf>
      <font>
        <name val="Arial"/>
        <charset val="1"/>
        <family val="0"/>
        <b val="1"/>
        <color rgb="FF14315F"/>
      </font>
    </dxf>
    <dxf>
      <font>
        <name val="Arial"/>
        <charset val="1"/>
        <family val="0"/>
        <b val="1"/>
        <color rgb="FFFFFFFF"/>
      </font>
      <fill>
        <patternFill>
          <bgColor rgb="FF14315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7B2233"/>
        </patternFill>
      </fill>
    </dxf>
    <dxf>
      <fill>
        <patternFill>
          <bgColor rgb="FFEEF0F3"/>
        </patternFill>
      </fill>
    </dxf>
    <dxf>
      <font>
        <name val="Arial"/>
        <charset val="1"/>
        <family val="0"/>
        <b val="1"/>
        <color rgb="FF5B6475"/>
      </font>
      <fill>
        <patternFill>
          <bgColor rgb="FFEEF0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F7F9FC"/>
      <rgbColor rgb="FF808080"/>
      <rgbColor rgb="FF9999FF"/>
      <rgbColor rgb="FF7B2233"/>
      <rgbColor rgb="FFFEF3C7"/>
      <rgbColor rgb="FFE8EEF7"/>
      <rgbColor rgb="FF660066"/>
      <rgbColor rgb="FFFF8080"/>
      <rgbColor rgb="FF1D4ED8"/>
      <rgbColor rgb="FFC9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0F3"/>
      <rgbColor rgb="FFDCF2E3"/>
      <rgbColor rgb="FFF6E9EC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5B6475"/>
      <rgbColor rgb="FF969696"/>
      <rgbColor rgb="FF14315F"/>
      <rgbColor rgb="FF339966"/>
      <rgbColor rgb="FF003300"/>
      <rgbColor rgb="FF333300"/>
      <rgbColor rgb="FF92400E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eet.google.com/aah-bbwp-wvz" TargetMode="External"/><Relationship Id="rId2" Type="http://schemas.openxmlformats.org/officeDocument/2006/relationships/hyperlink" Target="https://meet.google.com/aah-bbwp-wvz" TargetMode="External"/><Relationship Id="rId3" Type="http://schemas.openxmlformats.org/officeDocument/2006/relationships/hyperlink" Target="https://meet.google.com/aah-bbwp-wvz" TargetMode="External"/><Relationship Id="rId4" Type="http://schemas.openxmlformats.org/officeDocument/2006/relationships/hyperlink" Target="https://meet.google.com/aah-bbwp-wvz" TargetMode="External"/><Relationship Id="rId5" Type="http://schemas.openxmlformats.org/officeDocument/2006/relationships/hyperlink" Target="https://meet.google.com/aah-bbwp-wvz" TargetMode="External"/><Relationship Id="rId6" Type="http://schemas.openxmlformats.org/officeDocument/2006/relationships/hyperlink" Target="https://meet.google.com/aah-bbwp-wvz" TargetMode="External"/><Relationship Id="rId7" Type="http://schemas.openxmlformats.org/officeDocument/2006/relationships/hyperlink" Target="https://meet.google.com/aah-bbwp-wvz" TargetMode="External"/><Relationship Id="rId8" Type="http://schemas.openxmlformats.org/officeDocument/2006/relationships/hyperlink" Target="https://meet.google.com/aah-bbwp-wvz" TargetMode="External"/><Relationship Id="rId9" Type="http://schemas.openxmlformats.org/officeDocument/2006/relationships/hyperlink" Target="https://meet.google.com/aah-bbwp-wvz" TargetMode="External"/><Relationship Id="rId10" Type="http://schemas.openxmlformats.org/officeDocument/2006/relationships/hyperlink" Target="https://meet.google.com/aah-bbwp-wvz" TargetMode="External"/><Relationship Id="rId11" Type="http://schemas.openxmlformats.org/officeDocument/2006/relationships/hyperlink" Target="https://meet.google.com/aah-bbwp-wvz" TargetMode="External"/><Relationship Id="rId12" Type="http://schemas.openxmlformats.org/officeDocument/2006/relationships/hyperlink" Target="https://meet.google.com/aah-bbwp-wvz" TargetMode="External"/><Relationship Id="rId13" Type="http://schemas.openxmlformats.org/officeDocument/2006/relationships/hyperlink" Target="https://meet.google.com/aah-bbwp-wvz" TargetMode="External"/><Relationship Id="rId14" Type="http://schemas.openxmlformats.org/officeDocument/2006/relationships/hyperlink" Target="https://meet.google.com/aah-bbwp-wvz" TargetMode="External"/><Relationship Id="rId15" Type="http://schemas.openxmlformats.org/officeDocument/2006/relationships/hyperlink" Target="https://meet.google.com/aah-bbwp-wvz" TargetMode="External"/><Relationship Id="rId16" Type="http://schemas.openxmlformats.org/officeDocument/2006/relationships/hyperlink" Target="https://meet.google.com/aah-bbwp-wvz" TargetMode="External"/><Relationship Id="rId17" Type="http://schemas.openxmlformats.org/officeDocument/2006/relationships/hyperlink" Target="https://meet.google.com/aah-bbwp-wvz" TargetMode="External"/><Relationship Id="rId18" Type="http://schemas.openxmlformats.org/officeDocument/2006/relationships/hyperlink" Target="https://meet.google.com/aah-bbwp-wvz" TargetMode="External"/><Relationship Id="rId19" Type="http://schemas.openxmlformats.org/officeDocument/2006/relationships/hyperlink" Target="https://meet.google.com/aah-bbwp-wvz" TargetMode="External"/><Relationship Id="rId20" Type="http://schemas.openxmlformats.org/officeDocument/2006/relationships/hyperlink" Target="https://meet.google.com/aah-bbwp-wvz" TargetMode="External"/><Relationship Id="rId21" Type="http://schemas.openxmlformats.org/officeDocument/2006/relationships/hyperlink" Target="https://meet.google.com/aah-bbwp-wvz" TargetMode="External"/><Relationship Id="rId22" Type="http://schemas.openxmlformats.org/officeDocument/2006/relationships/hyperlink" Target="https://meet.google.com/aah-bbwp-wvz" TargetMode="External"/><Relationship Id="rId23" Type="http://schemas.openxmlformats.org/officeDocument/2006/relationships/hyperlink" Target="https://meet.google.com/aah-bbwp-wvz" TargetMode="External"/><Relationship Id="rId24" Type="http://schemas.openxmlformats.org/officeDocument/2006/relationships/hyperlink" Target="https://meet.google.com/aah-bbwp-wvz" TargetMode="External"/><Relationship Id="rId25" Type="http://schemas.openxmlformats.org/officeDocument/2006/relationships/hyperlink" Target="https://meet.google.com/aah-bbwp-wvz" TargetMode="External"/><Relationship Id="rId26" Type="http://schemas.openxmlformats.org/officeDocument/2006/relationships/hyperlink" Target="https://meet.google.com/aah-bbwp-wvz" TargetMode="External"/><Relationship Id="rId27" Type="http://schemas.openxmlformats.org/officeDocument/2006/relationships/hyperlink" Target="https://meet.google.com/aah-bbwp-wvz" TargetMode="External"/><Relationship Id="rId28" Type="http://schemas.openxmlformats.org/officeDocument/2006/relationships/hyperlink" Target="https://meet.google.com/aah-bbwp-wvz" TargetMode="External"/><Relationship Id="rId29" Type="http://schemas.openxmlformats.org/officeDocument/2006/relationships/hyperlink" Target="https://meet.google.com/aah-bbwp-wvz" TargetMode="External"/><Relationship Id="rId30" Type="http://schemas.openxmlformats.org/officeDocument/2006/relationships/hyperlink" Target="https://meet.google.com/aah-bbwp-wvz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2233"/>
    <pageSetUpPr fitToPage="true"/>
  </sheetPr>
  <dimension ref="A1:R5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1.5"/>
    <col collapsed="false" customWidth="true" hidden="false" outlineLevel="0" max="4" min="4" style="0" width="11"/>
    <col collapsed="false" customWidth="true" hidden="false" outlineLevel="0" max="6" min="5" style="0" width="7.5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38"/>
    <col collapsed="false" customWidth="true" hidden="false" outlineLevel="0" max="11" min="11" style="0" width="28"/>
    <col collapsed="false" customWidth="true" hidden="false" outlineLevel="0" max="12" min="12" style="0" width="17"/>
    <col collapsed="false" customWidth="true" hidden="false" outlineLevel="0" max="13" min="13" style="0" width="11"/>
    <col collapsed="false" customWidth="true" hidden="false" outlineLevel="0" max="14" min="14" style="0" width="19"/>
    <col collapsed="false" customWidth="true" hidden="false" outlineLevel="0" max="15" min="15" style="0" width="36"/>
    <col collapsed="false" customWidth="true" hidden="false" outlineLevel="0" max="16" min="16" style="0" width="7.5"/>
    <col collapsed="false" customWidth="true" hidden="false" outlineLevel="0" max="17" min="17" style="0" width="13"/>
    <col collapsed="false" customWidth="true" hidden="false" outlineLevel="0" max="18" min="18" style="0" width="4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customFormat="false" ht="18" hidden="false" customHeight="true" outlineLevel="0" collapsed="false">
      <c r="A5" s="5" t="s">
        <v>3</v>
      </c>
      <c r="B5" s="5"/>
      <c r="C5" s="5"/>
      <c r="D5" s="5" t="s">
        <v>4</v>
      </c>
      <c r="E5" s="5"/>
      <c r="F5" s="5"/>
      <c r="G5" s="5"/>
      <c r="H5" s="5" t="s">
        <v>5</v>
      </c>
      <c r="I5" s="5"/>
      <c r="J5" s="6" t="s">
        <v>6</v>
      </c>
      <c r="K5" s="6" t="s">
        <v>7</v>
      </c>
      <c r="L5" s="5" t="s">
        <v>8</v>
      </c>
      <c r="M5" s="5"/>
      <c r="N5" s="5"/>
      <c r="O5" s="5" t="s">
        <v>9</v>
      </c>
      <c r="P5" s="5"/>
      <c r="Q5" s="5"/>
      <c r="R5" s="5"/>
    </row>
    <row r="6" customFormat="false" ht="30" hidden="false" customHeight="true" outlineLevel="0" collapsed="false">
      <c r="A6" s="7" t="n">
        <f aca="false">COUNTIF($H$11:$H$45,"?*")</f>
        <v>30</v>
      </c>
      <c r="B6" s="7"/>
      <c r="C6" s="7"/>
      <c r="D6" s="7" t="n">
        <f aca="false">SUMPRODUCT(($H$11:$H$45&lt;&gt;"")/COUNTIF($H$11:$H$45,$H$11:$H$45&amp;""))</f>
        <v>15</v>
      </c>
      <c r="E6" s="7"/>
      <c r="F6" s="7"/>
      <c r="G6" s="7"/>
      <c r="H6" s="7" t="n">
        <f aca="false">SUMPRODUCT(($H$11:$H$45&lt;&gt;"")/(COUNTIFS($C$11:$C$45,$C$11:$C$45,$H$11:$H$45,"?*")+($H$11:$H$45="")))</f>
        <v>12</v>
      </c>
      <c r="I6" s="7"/>
      <c r="J6" s="8" t="n">
        <f aca="false">SUM($G$11:$G$45)*24</f>
        <v>47.5</v>
      </c>
      <c r="K6" s="9" t="n">
        <f aca="false">_xlfn.MINIFS($C$11:$C$45,$H$11:$H$45,"?*")</f>
        <v>46316</v>
      </c>
      <c r="L6" s="10" t="n">
        <f aca="false">_xlfn.MAXIFS($C$11:$C$45,$H$11:$H$45,"?*")</f>
        <v>46337</v>
      </c>
      <c r="M6" s="10"/>
      <c r="N6" s="10"/>
      <c r="O6" s="7" t="n">
        <f aca="false">COUNTIFS($H$11:$H$45,"?*",$Q$11:$Q$45,"&lt;&gt;Confirmado")</f>
        <v>0</v>
      </c>
      <c r="P6" s="7"/>
      <c r="Q6" s="7"/>
      <c r="R6" s="7"/>
    </row>
    <row r="7" customFormat="false" ht="7.5" hidden="false" customHeight="true" outlineLevel="0" collapsed="false"/>
    <row r="8" customFormat="false" ht="51.75" hidden="false" customHeight="true" outlineLevel="0" collapsed="false">
      <c r="A8" s="11" t="s">
        <v>10</v>
      </c>
      <c r="B8" s="11"/>
      <c r="C8" s="11"/>
      <c r="D8" s="11"/>
      <c r="E8" s="11"/>
      <c r="F8" s="11"/>
      <c r="G8" s="11"/>
      <c r="H8" s="11"/>
      <c r="I8" s="11"/>
      <c r="J8" s="12" t="s">
        <v>11</v>
      </c>
      <c r="K8" s="12"/>
      <c r="L8" s="12"/>
      <c r="M8" s="12"/>
      <c r="N8" s="12"/>
      <c r="O8" s="12"/>
      <c r="P8" s="12"/>
      <c r="Q8" s="12"/>
      <c r="R8" s="12"/>
    </row>
    <row r="9" customFormat="false" ht="7.5" hidden="false" customHeight="true" outlineLevel="0" collapsed="false"/>
    <row r="10" customFormat="false" ht="42" hidden="false" customHeight="true" outlineLevel="0" collapsed="false">
      <c r="A10" s="13" t="s">
        <v>12</v>
      </c>
      <c r="B10" s="13" t="s">
        <v>13</v>
      </c>
      <c r="C10" s="13" t="s">
        <v>14</v>
      </c>
      <c r="D10" s="13" t="s">
        <v>15</v>
      </c>
      <c r="E10" s="13" t="s">
        <v>16</v>
      </c>
      <c r="F10" s="13" t="s">
        <v>17</v>
      </c>
      <c r="G10" s="13" t="s">
        <v>18</v>
      </c>
      <c r="H10" s="13" t="s">
        <v>19</v>
      </c>
      <c r="I10" s="13" t="s">
        <v>20</v>
      </c>
      <c r="J10" s="13" t="s">
        <v>21</v>
      </c>
      <c r="K10" s="13" t="s">
        <v>22</v>
      </c>
      <c r="L10" s="13" t="s">
        <v>23</v>
      </c>
      <c r="M10" s="13" t="s">
        <v>24</v>
      </c>
      <c r="N10" s="13" t="s">
        <v>25</v>
      </c>
      <c r="O10" s="13" t="s">
        <v>26</v>
      </c>
      <c r="P10" s="13" t="s">
        <v>27</v>
      </c>
      <c r="Q10" s="13" t="s">
        <v>28</v>
      </c>
      <c r="R10" s="13" t="s">
        <v>29</v>
      </c>
    </row>
    <row r="11" customFormat="false" ht="18" hidden="false" customHeight="true" outlineLevel="0" collapsed="false">
      <c r="A11" s="14" t="s">
        <v>30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customFormat="false" ht="45.75" hidden="false" customHeight="true" outlineLevel="0" collapsed="false">
      <c r="A12" s="15" t="n">
        <f aca="false">IF(H12="","",COUNTIF($H$11:H12,"?*"))</f>
        <v>1</v>
      </c>
      <c r="B12" s="16" t="s">
        <v>31</v>
      </c>
      <c r="C12" s="17" t="n">
        <v>46316</v>
      </c>
      <c r="D12" s="15" t="str">
        <f aca="false">IF(C12="","",CHOOSE(WEEKDAY(C12,2),"Lunes","Martes","Miércoles","Jueves","Viernes","Sábado","Domingo"))</f>
        <v>Miércoles</v>
      </c>
      <c r="E12" s="18" t="n">
        <v>0.395833333333333</v>
      </c>
      <c r="F12" s="18" t="n">
        <v>0.465277777777778</v>
      </c>
      <c r="G12" s="19" t="n">
        <f aca="false">IF(AND(E12&lt;&gt;"",F12&lt;&gt;""),F12-E12,"")</f>
        <v>0.0694444444444445</v>
      </c>
      <c r="H12" s="20" t="s">
        <v>32</v>
      </c>
      <c r="I12" s="21" t="s">
        <v>33</v>
      </c>
      <c r="J12" s="22" t="s">
        <v>34</v>
      </c>
      <c r="K12" s="22" t="s">
        <v>35</v>
      </c>
      <c r="L12" s="22" t="s">
        <v>36</v>
      </c>
      <c r="M12" s="15" t="s">
        <v>37</v>
      </c>
      <c r="N12" s="23" t="s">
        <v>38</v>
      </c>
      <c r="O12" s="22" t="str">
        <f aca="false">IF(P12="","","A: "&amp;INDEX('Equipo y roles'!$C$13:$C$16,P12)&amp;CHAR(10)&amp;"M: "&amp;INDEX('Equipo y roles'!$D$13:$D$16,P12)&amp;CHAR(10)&amp;"D: "&amp;INDEX('Equipo y roles'!$E$13:$E$16,P12))</f>
        <v>A: Alvaro Rojas Carnero
M: Isabel Flores Huamaní
D: Oriol Romero Saavedra</v>
      </c>
      <c r="P12" s="15" t="n">
        <v>1</v>
      </c>
      <c r="Q12" s="16" t="s">
        <v>39</v>
      </c>
      <c r="R12" s="22" t="s">
        <v>40</v>
      </c>
    </row>
    <row r="13" customFormat="false" ht="45.75" hidden="false" customHeight="true" outlineLevel="0" collapsed="false">
      <c r="A13" s="15" t="n">
        <f aca="false">IF(H13="","",COUNTIF($H$11:H13,"?*"))</f>
        <v>2</v>
      </c>
      <c r="B13" s="16" t="s">
        <v>31</v>
      </c>
      <c r="C13" s="17" t="n">
        <v>46316</v>
      </c>
      <c r="D13" s="15" t="str">
        <f aca="false">IF(C13="","",CHOOSE(WEEKDAY(C13,2),"Lunes","Martes","Miércoles","Jueves","Viernes","Sábado","Domingo"))</f>
        <v>Miércoles</v>
      </c>
      <c r="E13" s="18" t="n">
        <v>0.472222222222222</v>
      </c>
      <c r="F13" s="18" t="n">
        <v>0.541666666666667</v>
      </c>
      <c r="G13" s="19" t="n">
        <f aca="false">IF(AND(E13&lt;&gt;"",F13&lt;&gt;""),F13-E13,"")</f>
        <v>0.0694444444444445</v>
      </c>
      <c r="H13" s="20" t="s">
        <v>41</v>
      </c>
      <c r="I13" s="21" t="s">
        <v>42</v>
      </c>
      <c r="J13" s="22" t="s">
        <v>43</v>
      </c>
      <c r="K13" s="22" t="s">
        <v>44</v>
      </c>
      <c r="L13" s="22" t="s">
        <v>36</v>
      </c>
      <c r="M13" s="15" t="s">
        <v>37</v>
      </c>
      <c r="N13" s="23" t="s">
        <v>38</v>
      </c>
      <c r="O13" s="22" t="str">
        <f aca="false">IF(P13="","","A: "&amp;INDEX('Equipo y roles'!$C$13:$C$16,P13)&amp;CHAR(10)&amp;"M: "&amp;INDEX('Equipo y roles'!$D$13:$D$16,P13)&amp;CHAR(10)&amp;"D: "&amp;INDEX('Equipo y roles'!$E$13:$E$16,P13))</f>
        <v>A: Alvaro Rojas Carnero
M: Isabel Flores Huamaní
D: Oriol Romero Saavedra</v>
      </c>
      <c r="P13" s="15" t="n">
        <v>1</v>
      </c>
      <c r="Q13" s="16" t="s">
        <v>39</v>
      </c>
      <c r="R13" s="22" t="s">
        <v>45</v>
      </c>
    </row>
    <row r="14" customFormat="false" ht="45.75" hidden="false" customHeight="true" outlineLevel="0" collapsed="false">
      <c r="A14" s="15" t="n">
        <f aca="false">IF(H14="","",COUNTIF($H$11:H14,"?*"))</f>
        <v>3</v>
      </c>
      <c r="B14" s="16" t="s">
        <v>31</v>
      </c>
      <c r="C14" s="17" t="n">
        <v>46316</v>
      </c>
      <c r="D14" s="15" t="str">
        <f aca="false">IF(C14="","",CHOOSE(WEEKDAY(C14,2),"Lunes","Martes","Miércoles","Jueves","Viernes","Sábado","Domingo"))</f>
        <v>Miércoles</v>
      </c>
      <c r="E14" s="18" t="n">
        <v>0.604166666666667</v>
      </c>
      <c r="F14" s="18" t="n">
        <v>0.673611111111111</v>
      </c>
      <c r="G14" s="19" t="n">
        <f aca="false">IF(AND(E14&lt;&gt;"",F14&lt;&gt;""),F14-E14,"")</f>
        <v>0.0694444444444445</v>
      </c>
      <c r="H14" s="20" t="s">
        <v>46</v>
      </c>
      <c r="I14" s="21" t="s">
        <v>47</v>
      </c>
      <c r="J14" s="22" t="s">
        <v>48</v>
      </c>
      <c r="K14" s="22" t="s">
        <v>49</v>
      </c>
      <c r="L14" s="22" t="s">
        <v>36</v>
      </c>
      <c r="M14" s="15" t="s">
        <v>37</v>
      </c>
      <c r="N14" s="23" t="s">
        <v>38</v>
      </c>
      <c r="O14" s="22" t="str">
        <f aca="false">IF(P14="","","A: "&amp;INDEX('Equipo y roles'!$C$13:$C$16,P14)&amp;CHAR(10)&amp;"M: "&amp;INDEX('Equipo y roles'!$D$13:$D$16,P14)&amp;CHAR(10)&amp;"D: "&amp;INDEX('Equipo y roles'!$E$13:$E$16,P14))</f>
        <v>A: Alvaro Rojas Carnero
M: Isabel Flores Huamaní
D: Oriol Romero Saavedra</v>
      </c>
      <c r="P14" s="15" t="n">
        <v>1</v>
      </c>
      <c r="Q14" s="16" t="s">
        <v>39</v>
      </c>
      <c r="R14" s="22" t="s">
        <v>50</v>
      </c>
    </row>
    <row r="15" customFormat="false" ht="45.75" hidden="false" customHeight="true" outlineLevel="0" collapsed="false">
      <c r="A15" s="24" t="n">
        <f aca="false">IF(H15="","",COUNTIF($H$11:H15,"?*"))</f>
        <v>4</v>
      </c>
      <c r="B15" s="25" t="s">
        <v>31</v>
      </c>
      <c r="C15" s="26" t="n">
        <v>46317</v>
      </c>
      <c r="D15" s="24" t="str">
        <f aca="false">IF(C15="","",CHOOSE(WEEKDAY(C15,2),"Lunes","Martes","Miércoles","Jueves","Viernes","Sábado","Domingo"))</f>
        <v>Jueves</v>
      </c>
      <c r="E15" s="27" t="n">
        <v>0.395833333333333</v>
      </c>
      <c r="F15" s="27" t="n">
        <v>0.465277777777778</v>
      </c>
      <c r="G15" s="28" t="n">
        <f aca="false">IF(AND(E15&lt;&gt;"",F15&lt;&gt;""),F15-E15,"")</f>
        <v>0.0694444444444445</v>
      </c>
      <c r="H15" s="29" t="s">
        <v>51</v>
      </c>
      <c r="I15" s="30" t="s">
        <v>52</v>
      </c>
      <c r="J15" s="31" t="s">
        <v>53</v>
      </c>
      <c r="K15" s="31" t="s">
        <v>54</v>
      </c>
      <c r="L15" s="31" t="s">
        <v>36</v>
      </c>
      <c r="M15" s="24" t="s">
        <v>37</v>
      </c>
      <c r="N15" s="32" t="s">
        <v>38</v>
      </c>
      <c r="O15" s="31" t="str">
        <f aca="false">IF(P15="","","A: "&amp;INDEX('Equipo y roles'!$C$13:$C$16,P15)&amp;CHAR(10)&amp;"M: "&amp;INDEX('Equipo y roles'!$D$13:$D$16,P15)&amp;CHAR(10)&amp;"D: "&amp;INDEX('Equipo y roles'!$E$13:$E$16,P15))</f>
        <v>A: Alvaro Rojas Carnero
M: Isabel Flores Huamaní
D: Oriol Romero Saavedra</v>
      </c>
      <c r="P15" s="24" t="n">
        <v>1</v>
      </c>
      <c r="Q15" s="25" t="s">
        <v>39</v>
      </c>
      <c r="R15" s="31" t="s">
        <v>55</v>
      </c>
    </row>
    <row r="16" customFormat="false" ht="45.75" hidden="false" customHeight="true" outlineLevel="0" collapsed="false">
      <c r="A16" s="24" t="n">
        <f aca="false">IF(H16="","",COUNTIF($H$11:H16,"?*"))</f>
        <v>5</v>
      </c>
      <c r="B16" s="25" t="s">
        <v>31</v>
      </c>
      <c r="C16" s="26" t="n">
        <v>46317</v>
      </c>
      <c r="D16" s="24" t="str">
        <f aca="false">IF(C16="","",CHOOSE(WEEKDAY(C16,2),"Lunes","Martes","Miércoles","Jueves","Viernes","Sábado","Domingo"))</f>
        <v>Jueves</v>
      </c>
      <c r="E16" s="27" t="n">
        <v>0.472222222222222</v>
      </c>
      <c r="F16" s="27" t="n">
        <v>0.541666666666667</v>
      </c>
      <c r="G16" s="28" t="n">
        <f aca="false">IF(AND(E16&lt;&gt;"",F16&lt;&gt;""),F16-E16,"")</f>
        <v>0.0694444444444445</v>
      </c>
      <c r="H16" s="29" t="s">
        <v>56</v>
      </c>
      <c r="I16" s="30" t="s">
        <v>57</v>
      </c>
      <c r="J16" s="31" t="s">
        <v>58</v>
      </c>
      <c r="K16" s="31" t="s">
        <v>59</v>
      </c>
      <c r="L16" s="31" t="s">
        <v>36</v>
      </c>
      <c r="M16" s="24" t="s">
        <v>37</v>
      </c>
      <c r="N16" s="32" t="s">
        <v>38</v>
      </c>
      <c r="O16" s="31" t="str">
        <f aca="false">IF(P16="","","A: "&amp;INDEX('Equipo y roles'!$C$13:$C$16,P16)&amp;CHAR(10)&amp;"M: "&amp;INDEX('Equipo y roles'!$D$13:$D$16,P16)&amp;CHAR(10)&amp;"D: "&amp;INDEX('Equipo y roles'!$E$13:$E$16,P16))</f>
        <v>A: Alvaro Rojas Carnero
M: Isabel Flores Huamaní
D: Oriol Romero Saavedra</v>
      </c>
      <c r="P16" s="24" t="n">
        <v>1</v>
      </c>
      <c r="Q16" s="25" t="s">
        <v>39</v>
      </c>
      <c r="R16" s="31" t="s">
        <v>60</v>
      </c>
    </row>
    <row r="17" customFormat="false" ht="45.75" hidden="false" customHeight="true" outlineLevel="0" collapsed="false">
      <c r="A17" s="24" t="n">
        <f aca="false">IF(H17="","",COUNTIF($H$11:H17,"?*"))</f>
        <v>6</v>
      </c>
      <c r="B17" s="25" t="s">
        <v>31</v>
      </c>
      <c r="C17" s="26" t="n">
        <v>46317</v>
      </c>
      <c r="D17" s="24" t="str">
        <f aca="false">IF(C17="","",CHOOSE(WEEKDAY(C17,2),"Lunes","Martes","Miércoles","Jueves","Viernes","Sábado","Domingo"))</f>
        <v>Jueves</v>
      </c>
      <c r="E17" s="27" t="n">
        <v>0.604166666666667</v>
      </c>
      <c r="F17" s="27" t="n">
        <v>0.65625</v>
      </c>
      <c r="G17" s="28" t="n">
        <f aca="false">IF(AND(E17&lt;&gt;"",F17&lt;&gt;""),F17-E17,"")</f>
        <v>0.0520833333333333</v>
      </c>
      <c r="H17" s="29" t="s">
        <v>61</v>
      </c>
      <c r="I17" s="30" t="s">
        <v>62</v>
      </c>
      <c r="J17" s="31" t="s">
        <v>63</v>
      </c>
      <c r="K17" s="31" t="s">
        <v>64</v>
      </c>
      <c r="L17" s="31" t="s">
        <v>36</v>
      </c>
      <c r="M17" s="24" t="s">
        <v>37</v>
      </c>
      <c r="N17" s="32" t="s">
        <v>38</v>
      </c>
      <c r="O17" s="31" t="str">
        <f aca="false">IF(P17="","","A: "&amp;INDEX('Equipo y roles'!$C$13:$C$16,P17)&amp;CHAR(10)&amp;"M: "&amp;INDEX('Equipo y roles'!$D$13:$D$16,P17)&amp;CHAR(10)&amp;"D: "&amp;INDEX('Equipo y roles'!$E$13:$E$16,P17))</f>
        <v>A: Alvaro Rojas Carnero
M: Isabel Flores Huamaní
D: Oriol Romero Saavedra</v>
      </c>
      <c r="P17" s="24" t="n">
        <v>1</v>
      </c>
      <c r="Q17" s="25" t="s">
        <v>39</v>
      </c>
      <c r="R17" s="31" t="s">
        <v>65</v>
      </c>
    </row>
    <row r="18" customFormat="false" ht="24" hidden="false" customHeight="true" outlineLevel="0" collapsed="false">
      <c r="A18" s="33" t="str">
        <f aca="false">IF(H18="","",COUNTIF($H$11:H18,"?*"))</f>
        <v/>
      </c>
      <c r="B18" s="33" t="s">
        <v>66</v>
      </c>
      <c r="C18" s="34" t="n">
        <v>46321</v>
      </c>
      <c r="D18" s="33" t="str">
        <f aca="false">IF(C18="","",CHOOSE(WEEKDAY(C18,2),"Lunes","Martes","Miércoles","Jueves","Viernes","Sábado","Domingo"))</f>
        <v>Lunes</v>
      </c>
      <c r="E18" s="33"/>
      <c r="F18" s="33"/>
      <c r="G18" s="33"/>
      <c r="H18" s="33"/>
      <c r="I18" s="35" t="s">
        <v>67</v>
      </c>
      <c r="J18" s="35"/>
      <c r="K18" s="35"/>
      <c r="L18" s="36" t="s">
        <v>68</v>
      </c>
      <c r="M18" s="33"/>
      <c r="N18" s="37"/>
      <c r="O18" s="36"/>
      <c r="P18" s="33"/>
      <c r="Q18" s="33"/>
      <c r="R18" s="36" t="s">
        <v>69</v>
      </c>
    </row>
    <row r="19" customFormat="false" ht="45.75" hidden="false" customHeight="true" outlineLevel="0" collapsed="false">
      <c r="A19" s="24" t="n">
        <f aca="false">IF(H19="","",COUNTIF($H$11:H19,"?*"))</f>
        <v>7</v>
      </c>
      <c r="B19" s="25" t="s">
        <v>31</v>
      </c>
      <c r="C19" s="26" t="n">
        <v>46322</v>
      </c>
      <c r="D19" s="24" t="str">
        <f aca="false">IF(C19="","",CHOOSE(WEEKDAY(C19,2),"Lunes","Martes","Miércoles","Jueves","Viernes","Sábado","Domingo"))</f>
        <v>Martes</v>
      </c>
      <c r="E19" s="27" t="n">
        <v>0.395833333333333</v>
      </c>
      <c r="F19" s="27" t="n">
        <v>0.465277777777778</v>
      </c>
      <c r="G19" s="28" t="n">
        <f aca="false">IF(AND(E19&lt;&gt;"",F19&lt;&gt;""),F19-E19,"")</f>
        <v>0.0694444444444445</v>
      </c>
      <c r="H19" s="29" t="s">
        <v>70</v>
      </c>
      <c r="I19" s="30" t="s">
        <v>71</v>
      </c>
      <c r="J19" s="31" t="s">
        <v>53</v>
      </c>
      <c r="K19" s="31" t="s">
        <v>54</v>
      </c>
      <c r="L19" s="31" t="s">
        <v>36</v>
      </c>
      <c r="M19" s="24" t="s">
        <v>37</v>
      </c>
      <c r="N19" s="32" t="s">
        <v>38</v>
      </c>
      <c r="O19" s="31" t="str">
        <f aca="false">IF(P19="","","A: "&amp;INDEX('Equipo y roles'!$C$13:$C$16,P19)&amp;CHAR(10)&amp;"M: "&amp;INDEX('Equipo y roles'!$D$13:$D$16,P19)&amp;CHAR(10)&amp;"D: "&amp;INDEX('Equipo y roles'!$E$13:$E$16,P19))</f>
        <v>A: Isabel Flores Huamaní
M: Oriol Romero Saavedra
D: Leomar Bonzano Chavez</v>
      </c>
      <c r="P19" s="24" t="n">
        <v>2</v>
      </c>
      <c r="Q19" s="25" t="s">
        <v>39</v>
      </c>
      <c r="R19" s="31" t="s">
        <v>72</v>
      </c>
    </row>
    <row r="20" customFormat="false" ht="45.75" hidden="false" customHeight="true" outlineLevel="0" collapsed="false">
      <c r="A20" s="24" t="n">
        <f aca="false">IF(H20="","",COUNTIF($H$11:H20,"?*"))</f>
        <v>8</v>
      </c>
      <c r="B20" s="25" t="s">
        <v>31</v>
      </c>
      <c r="C20" s="26" t="n">
        <v>46322</v>
      </c>
      <c r="D20" s="24" t="str">
        <f aca="false">IF(C20="","",CHOOSE(WEEKDAY(C20,2),"Lunes","Martes","Miércoles","Jueves","Viernes","Sábado","Domingo"))</f>
        <v>Martes</v>
      </c>
      <c r="E20" s="27" t="n">
        <v>0.472222222222222</v>
      </c>
      <c r="F20" s="27" t="n">
        <v>0.541666666666667</v>
      </c>
      <c r="G20" s="28" t="n">
        <f aca="false">IF(AND(E20&lt;&gt;"",F20&lt;&gt;""),F20-E20,"")</f>
        <v>0.0694444444444445</v>
      </c>
      <c r="H20" s="29" t="s">
        <v>73</v>
      </c>
      <c r="I20" s="30" t="s">
        <v>74</v>
      </c>
      <c r="J20" s="31" t="s">
        <v>75</v>
      </c>
      <c r="K20" s="31" t="s">
        <v>76</v>
      </c>
      <c r="L20" s="31" t="s">
        <v>36</v>
      </c>
      <c r="M20" s="24" t="s">
        <v>37</v>
      </c>
      <c r="N20" s="32" t="s">
        <v>38</v>
      </c>
      <c r="O20" s="31" t="str">
        <f aca="false">IF(P20="","","A: "&amp;INDEX('Equipo y roles'!$C$13:$C$16,P20)&amp;CHAR(10)&amp;"M: "&amp;INDEX('Equipo y roles'!$D$13:$D$16,P20)&amp;CHAR(10)&amp;"D: "&amp;INDEX('Equipo y roles'!$E$13:$E$16,P20))</f>
        <v>A: Isabel Flores Huamaní
M: Oriol Romero Saavedra
D: Leomar Bonzano Chavez</v>
      </c>
      <c r="P20" s="24" t="n">
        <v>2</v>
      </c>
      <c r="Q20" s="25" t="s">
        <v>39</v>
      </c>
      <c r="R20" s="31" t="s">
        <v>77</v>
      </c>
    </row>
    <row r="21" customFormat="false" ht="45.75" hidden="false" customHeight="true" outlineLevel="0" collapsed="false">
      <c r="A21" s="24" t="n">
        <f aca="false">IF(H21="","",COUNTIF($H$11:H21,"?*"))</f>
        <v>9</v>
      </c>
      <c r="B21" s="25" t="s">
        <v>31</v>
      </c>
      <c r="C21" s="26" t="n">
        <v>46322</v>
      </c>
      <c r="D21" s="24" t="str">
        <f aca="false">IF(C21="","",CHOOSE(WEEKDAY(C21,2),"Lunes","Martes","Miércoles","Jueves","Viernes","Sábado","Domingo"))</f>
        <v>Martes</v>
      </c>
      <c r="E21" s="27" t="n">
        <v>0.604166666666667</v>
      </c>
      <c r="F21" s="27" t="n">
        <v>0.65625</v>
      </c>
      <c r="G21" s="28" t="n">
        <f aca="false">IF(AND(E21&lt;&gt;"",F21&lt;&gt;""),F21-E21,"")</f>
        <v>0.0520833333333333</v>
      </c>
      <c r="H21" s="29" t="s">
        <v>78</v>
      </c>
      <c r="I21" s="30" t="s">
        <v>79</v>
      </c>
      <c r="J21" s="31" t="s">
        <v>80</v>
      </c>
      <c r="K21" s="31" t="s">
        <v>81</v>
      </c>
      <c r="L21" s="31" t="s">
        <v>36</v>
      </c>
      <c r="M21" s="24" t="s">
        <v>37</v>
      </c>
      <c r="N21" s="32" t="s">
        <v>38</v>
      </c>
      <c r="O21" s="31" t="str">
        <f aca="false">IF(P21="","","A: "&amp;INDEX('Equipo y roles'!$C$13:$C$16,P21)&amp;CHAR(10)&amp;"M: "&amp;INDEX('Equipo y roles'!$D$13:$D$16,P21)&amp;CHAR(10)&amp;"D: "&amp;INDEX('Equipo y roles'!$E$13:$E$16,P21))</f>
        <v>A: Isabel Flores Huamaní
M: Oriol Romero Saavedra
D: Leomar Bonzano Chavez</v>
      </c>
      <c r="P21" s="24" t="n">
        <v>2</v>
      </c>
      <c r="Q21" s="25" t="s">
        <v>39</v>
      </c>
      <c r="R21" s="31" t="s">
        <v>82</v>
      </c>
    </row>
    <row r="22" customFormat="false" ht="45.75" hidden="false" customHeight="true" outlineLevel="0" collapsed="false">
      <c r="A22" s="15" t="n">
        <f aca="false">IF(H22="","",COUNTIF($H$11:H22,"?*"))</f>
        <v>10</v>
      </c>
      <c r="B22" s="16" t="s">
        <v>31</v>
      </c>
      <c r="C22" s="17" t="n">
        <v>46323</v>
      </c>
      <c r="D22" s="15" t="str">
        <f aca="false">IF(C22="","",CHOOSE(WEEKDAY(C22,2),"Lunes","Martes","Miércoles","Jueves","Viernes","Sábado","Domingo"))</f>
        <v>Miércoles</v>
      </c>
      <c r="E22" s="18" t="n">
        <v>0.395833333333333</v>
      </c>
      <c r="F22" s="18" t="n">
        <v>0.465277777777778</v>
      </c>
      <c r="G22" s="19" t="n">
        <f aca="false">IF(AND(E22&lt;&gt;"",F22&lt;&gt;""),F22-E22,"")</f>
        <v>0.0694444444444445</v>
      </c>
      <c r="H22" s="20" t="s">
        <v>83</v>
      </c>
      <c r="I22" s="21" t="s">
        <v>84</v>
      </c>
      <c r="J22" s="22" t="s">
        <v>85</v>
      </c>
      <c r="K22" s="22" t="s">
        <v>86</v>
      </c>
      <c r="L22" s="22" t="s">
        <v>87</v>
      </c>
      <c r="M22" s="15" t="s">
        <v>37</v>
      </c>
      <c r="N22" s="23" t="s">
        <v>38</v>
      </c>
      <c r="O22" s="22" t="str">
        <f aca="false">IF(P22="","","A: "&amp;INDEX('Equipo y roles'!$C$13:$C$16,P22)&amp;CHAR(10)&amp;"M: "&amp;INDEX('Equipo y roles'!$D$13:$D$16,P22)&amp;CHAR(10)&amp;"D: "&amp;INDEX('Equipo y roles'!$E$13:$E$16,P22))</f>
        <v>A: Isabel Flores Huamaní
M: Oriol Romero Saavedra
D: Leomar Bonzano Chavez</v>
      </c>
      <c r="P22" s="15" t="n">
        <v>2</v>
      </c>
      <c r="Q22" s="16" t="s">
        <v>39</v>
      </c>
      <c r="R22" s="22" t="s">
        <v>88</v>
      </c>
    </row>
    <row r="23" customFormat="false" ht="45.75" hidden="false" customHeight="true" outlineLevel="0" collapsed="false">
      <c r="A23" s="15" t="n">
        <f aca="false">IF(H23="","",COUNTIF($H$11:H23,"?*"))</f>
        <v>11</v>
      </c>
      <c r="B23" s="16" t="s">
        <v>31</v>
      </c>
      <c r="C23" s="17" t="n">
        <v>46323</v>
      </c>
      <c r="D23" s="15" t="str">
        <f aca="false">IF(C23="","",CHOOSE(WEEKDAY(C23,2),"Lunes","Martes","Miércoles","Jueves","Viernes","Sábado","Domingo"))</f>
        <v>Miércoles</v>
      </c>
      <c r="E23" s="18" t="n">
        <v>0.472222222222222</v>
      </c>
      <c r="F23" s="18" t="n">
        <v>0.541666666666667</v>
      </c>
      <c r="G23" s="19" t="n">
        <f aca="false">IF(AND(E23&lt;&gt;"",F23&lt;&gt;""),F23-E23,"")</f>
        <v>0.0694444444444445</v>
      </c>
      <c r="H23" s="20" t="s">
        <v>89</v>
      </c>
      <c r="I23" s="21" t="s">
        <v>90</v>
      </c>
      <c r="J23" s="22" t="s">
        <v>91</v>
      </c>
      <c r="K23" s="22" t="s">
        <v>92</v>
      </c>
      <c r="L23" s="22" t="s">
        <v>87</v>
      </c>
      <c r="M23" s="15" t="s">
        <v>37</v>
      </c>
      <c r="N23" s="23" t="s">
        <v>38</v>
      </c>
      <c r="O23" s="22" t="str">
        <f aca="false">IF(P23="","","A: "&amp;INDEX('Equipo y roles'!$C$13:$C$16,P23)&amp;CHAR(10)&amp;"M: "&amp;INDEX('Equipo y roles'!$D$13:$D$16,P23)&amp;CHAR(10)&amp;"D: "&amp;INDEX('Equipo y roles'!$E$13:$E$16,P23))</f>
        <v>A: Isabel Flores Huamaní
M: Oriol Romero Saavedra
D: Leomar Bonzano Chavez</v>
      </c>
      <c r="P23" s="15" t="n">
        <v>2</v>
      </c>
      <c r="Q23" s="16" t="s">
        <v>39</v>
      </c>
      <c r="R23" s="22" t="s">
        <v>93</v>
      </c>
    </row>
    <row r="24" customFormat="false" ht="45.75" hidden="false" customHeight="true" outlineLevel="0" collapsed="false">
      <c r="A24" s="15" t="n">
        <f aca="false">IF(H24="","",COUNTIF($H$11:H24,"?*"))</f>
        <v>12</v>
      </c>
      <c r="B24" s="16" t="s">
        <v>31</v>
      </c>
      <c r="C24" s="17" t="n">
        <v>46323</v>
      </c>
      <c r="D24" s="15" t="str">
        <f aca="false">IF(C24="","",CHOOSE(WEEKDAY(C24,2),"Lunes","Martes","Miércoles","Jueves","Viernes","Sábado","Domingo"))</f>
        <v>Miércoles</v>
      </c>
      <c r="E24" s="18" t="n">
        <v>0.604166666666667</v>
      </c>
      <c r="F24" s="18" t="n">
        <v>0.65625</v>
      </c>
      <c r="G24" s="19" t="n">
        <f aca="false">IF(AND(E24&lt;&gt;"",F24&lt;&gt;""),F24-E24,"")</f>
        <v>0.0520833333333333</v>
      </c>
      <c r="H24" s="20" t="s">
        <v>94</v>
      </c>
      <c r="I24" s="21" t="s">
        <v>95</v>
      </c>
      <c r="J24" s="22" t="s">
        <v>96</v>
      </c>
      <c r="K24" s="22" t="s">
        <v>97</v>
      </c>
      <c r="L24" s="22" t="s">
        <v>87</v>
      </c>
      <c r="M24" s="15" t="s">
        <v>37</v>
      </c>
      <c r="N24" s="23" t="s">
        <v>38</v>
      </c>
      <c r="O24" s="22" t="str">
        <f aca="false">IF(P24="","","A: "&amp;INDEX('Equipo y roles'!$C$13:$C$16,P24)&amp;CHAR(10)&amp;"M: "&amp;INDEX('Equipo y roles'!$D$13:$D$16,P24)&amp;CHAR(10)&amp;"D: "&amp;INDEX('Equipo y roles'!$E$13:$E$16,P24))</f>
        <v>A: Isabel Flores Huamaní
M: Oriol Romero Saavedra
D: Leomar Bonzano Chavez</v>
      </c>
      <c r="P24" s="15" t="n">
        <v>2</v>
      </c>
      <c r="Q24" s="16" t="s">
        <v>39</v>
      </c>
      <c r="R24" s="22" t="s">
        <v>98</v>
      </c>
    </row>
    <row r="25" customFormat="false" ht="45.75" hidden="false" customHeight="true" outlineLevel="0" collapsed="false">
      <c r="A25" s="24" t="n">
        <f aca="false">IF(H25="","",COUNTIF($H$11:H25,"?*"))</f>
        <v>13</v>
      </c>
      <c r="B25" s="25" t="s">
        <v>31</v>
      </c>
      <c r="C25" s="26" t="n">
        <v>46324</v>
      </c>
      <c r="D25" s="24" t="str">
        <f aca="false">IF(C25="","",CHOOSE(WEEKDAY(C25,2),"Lunes","Martes","Miércoles","Jueves","Viernes","Sábado","Domingo"))</f>
        <v>Jueves</v>
      </c>
      <c r="E25" s="27" t="n">
        <v>0.395833333333333</v>
      </c>
      <c r="F25" s="27" t="n">
        <v>0.465277777777778</v>
      </c>
      <c r="G25" s="28" t="n">
        <f aca="false">IF(AND(E25&lt;&gt;"",F25&lt;&gt;""),F25-E25,"")</f>
        <v>0.0694444444444445</v>
      </c>
      <c r="H25" s="29" t="s">
        <v>99</v>
      </c>
      <c r="I25" s="30" t="s">
        <v>100</v>
      </c>
      <c r="J25" s="31" t="s">
        <v>101</v>
      </c>
      <c r="K25" s="31" t="s">
        <v>102</v>
      </c>
      <c r="L25" s="31" t="s">
        <v>36</v>
      </c>
      <c r="M25" s="24" t="s">
        <v>37</v>
      </c>
      <c r="N25" s="32" t="s">
        <v>38</v>
      </c>
      <c r="O25" s="31" t="str">
        <f aca="false">IF(P25="","","A: "&amp;INDEX('Equipo y roles'!$C$13:$C$16,P25)&amp;CHAR(10)&amp;"M: "&amp;INDEX('Equipo y roles'!$D$13:$D$16,P25)&amp;CHAR(10)&amp;"D: "&amp;INDEX('Equipo y roles'!$E$13:$E$16,P25))</f>
        <v>A: Isabel Flores Huamaní
M: Oriol Romero Saavedra
D: Leomar Bonzano Chavez</v>
      </c>
      <c r="P25" s="24" t="n">
        <v>2</v>
      </c>
      <c r="Q25" s="25" t="s">
        <v>39</v>
      </c>
      <c r="R25" s="31" t="s">
        <v>103</v>
      </c>
    </row>
    <row r="26" customFormat="false" ht="45.75" hidden="false" customHeight="true" outlineLevel="0" collapsed="false">
      <c r="A26" s="24" t="n">
        <f aca="false">IF(H26="","",COUNTIF($H$11:H26,"?*"))</f>
        <v>14</v>
      </c>
      <c r="B26" s="25" t="s">
        <v>31</v>
      </c>
      <c r="C26" s="26" t="n">
        <v>46324</v>
      </c>
      <c r="D26" s="24" t="str">
        <f aca="false">IF(C26="","",CHOOSE(WEEKDAY(C26,2),"Lunes","Martes","Miércoles","Jueves","Viernes","Sábado","Domingo"))</f>
        <v>Jueves</v>
      </c>
      <c r="E26" s="27" t="n">
        <v>0.472222222222222</v>
      </c>
      <c r="F26" s="27" t="n">
        <v>0.541666666666667</v>
      </c>
      <c r="G26" s="28" t="n">
        <f aca="false">IF(AND(E26&lt;&gt;"",F26&lt;&gt;""),F26-E26,"")</f>
        <v>0.0694444444444445</v>
      </c>
      <c r="H26" s="29" t="s">
        <v>104</v>
      </c>
      <c r="I26" s="30" t="s">
        <v>105</v>
      </c>
      <c r="J26" s="31" t="s">
        <v>106</v>
      </c>
      <c r="K26" s="31" t="s">
        <v>107</v>
      </c>
      <c r="L26" s="31" t="s">
        <v>36</v>
      </c>
      <c r="M26" s="24" t="s">
        <v>37</v>
      </c>
      <c r="N26" s="32" t="s">
        <v>38</v>
      </c>
      <c r="O26" s="31" t="str">
        <f aca="false">IF(P26="","","A: "&amp;INDEX('Equipo y roles'!$C$13:$C$16,P26)&amp;CHAR(10)&amp;"M: "&amp;INDEX('Equipo y roles'!$D$13:$D$16,P26)&amp;CHAR(10)&amp;"D: "&amp;INDEX('Equipo y roles'!$E$13:$E$16,P26))</f>
        <v>A: Isabel Flores Huamaní
M: Oriol Romero Saavedra
D: Leomar Bonzano Chavez</v>
      </c>
      <c r="P26" s="24" t="n">
        <v>2</v>
      </c>
      <c r="Q26" s="25" t="s">
        <v>39</v>
      </c>
      <c r="R26" s="31" t="s">
        <v>108</v>
      </c>
    </row>
    <row r="27" customFormat="false" ht="24" hidden="false" customHeight="true" outlineLevel="0" collapsed="false">
      <c r="A27" s="33" t="str">
        <f aca="false">IF(H27="","",COUNTIF($H$11:H27,"?*"))</f>
        <v/>
      </c>
      <c r="B27" s="33" t="s">
        <v>66</v>
      </c>
      <c r="C27" s="34" t="n">
        <v>46325</v>
      </c>
      <c r="D27" s="33" t="str">
        <f aca="false">IF(C27="","",CHOOSE(WEEKDAY(C27,2),"Lunes","Martes","Miércoles","Jueves","Viernes","Sábado","Domingo"))</f>
        <v>Viernes</v>
      </c>
      <c r="E27" s="33"/>
      <c r="F27" s="33"/>
      <c r="G27" s="33"/>
      <c r="H27" s="33"/>
      <c r="I27" s="35" t="s">
        <v>67</v>
      </c>
      <c r="J27" s="35"/>
      <c r="K27" s="35"/>
      <c r="L27" s="36" t="s">
        <v>109</v>
      </c>
      <c r="M27" s="33"/>
      <c r="N27" s="37"/>
      <c r="O27" s="36"/>
      <c r="P27" s="33"/>
      <c r="Q27" s="33"/>
      <c r="R27" s="36" t="s">
        <v>110</v>
      </c>
    </row>
    <row r="28" customFormat="false" ht="18" hidden="false" customHeight="true" outlineLevel="0" collapsed="false">
      <c r="A28" s="14" t="s">
        <v>111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customFormat="false" ht="45.75" hidden="false" customHeight="true" outlineLevel="0" collapsed="false">
      <c r="A29" s="24" t="n">
        <f aca="false">IF(H29="","",COUNTIF($H$11:H29,"?*"))</f>
        <v>15</v>
      </c>
      <c r="B29" s="25" t="s">
        <v>31</v>
      </c>
      <c r="C29" s="26" t="n">
        <v>46328</v>
      </c>
      <c r="D29" s="24" t="str">
        <f aca="false">IF(C29="","",CHOOSE(WEEKDAY(C29,2),"Lunes","Martes","Miércoles","Jueves","Viernes","Sábado","Domingo"))</f>
        <v>Lunes</v>
      </c>
      <c r="E29" s="27" t="n">
        <v>0.395833333333333</v>
      </c>
      <c r="F29" s="27" t="n">
        <v>0.465277777777778</v>
      </c>
      <c r="G29" s="28" t="n">
        <f aca="false">IF(AND(E29&lt;&gt;"",F29&lt;&gt;""),F29-E29,"")</f>
        <v>0.0694444444444445</v>
      </c>
      <c r="H29" s="29" t="s">
        <v>112</v>
      </c>
      <c r="I29" s="30" t="s">
        <v>113</v>
      </c>
      <c r="J29" s="31" t="s">
        <v>114</v>
      </c>
      <c r="K29" s="31" t="s">
        <v>115</v>
      </c>
      <c r="L29" s="31" t="s">
        <v>36</v>
      </c>
      <c r="M29" s="24" t="s">
        <v>37</v>
      </c>
      <c r="N29" s="32" t="s">
        <v>38</v>
      </c>
      <c r="O29" s="31" t="str">
        <f aca="false">IF(P29="","","A: "&amp;INDEX('Equipo y roles'!$C$13:$C$16,P29)&amp;CHAR(10)&amp;"M: "&amp;INDEX('Equipo y roles'!$D$13:$D$16,P29)&amp;CHAR(10)&amp;"D: "&amp;INDEX('Equipo y roles'!$E$13:$E$16,P29))</f>
        <v>A: Isabel Flores Huamaní
M: Oriol Romero Saavedra
D: Leomar Bonzano Chavez</v>
      </c>
      <c r="P29" s="24" t="n">
        <v>3</v>
      </c>
      <c r="Q29" s="25" t="s">
        <v>39</v>
      </c>
      <c r="R29" s="31" t="s">
        <v>116</v>
      </c>
    </row>
    <row r="30" customFormat="false" ht="45.75" hidden="false" customHeight="true" outlineLevel="0" collapsed="false">
      <c r="A30" s="15" t="n">
        <f aca="false">IF(H30="","",COUNTIF($H$11:H30,"?*"))</f>
        <v>16</v>
      </c>
      <c r="B30" s="16" t="s">
        <v>117</v>
      </c>
      <c r="C30" s="17" t="n">
        <v>46329</v>
      </c>
      <c r="D30" s="15" t="str">
        <f aca="false">IF(C30="","",CHOOSE(WEEKDAY(C30,2),"Lunes","Martes","Miércoles","Jueves","Viernes","Sábado","Domingo"))</f>
        <v>Martes</v>
      </c>
      <c r="E30" s="18" t="n">
        <v>0.395833333333333</v>
      </c>
      <c r="F30" s="18" t="n">
        <v>0.465277777777778</v>
      </c>
      <c r="G30" s="19" t="n">
        <f aca="false">IF(AND(E30&lt;&gt;"",F30&lt;&gt;""),F30-E30,"")</f>
        <v>0.0694444444444445</v>
      </c>
      <c r="H30" s="20" t="s">
        <v>32</v>
      </c>
      <c r="I30" s="21" t="s">
        <v>33</v>
      </c>
      <c r="J30" s="22" t="s">
        <v>34</v>
      </c>
      <c r="K30" s="22" t="s">
        <v>35</v>
      </c>
      <c r="L30" s="22" t="s">
        <v>87</v>
      </c>
      <c r="M30" s="15" t="s">
        <v>37</v>
      </c>
      <c r="N30" s="23" t="s">
        <v>38</v>
      </c>
      <c r="O30" s="22" t="str">
        <f aca="false">IF(P30="","","A: "&amp;INDEX('Equipo y roles'!$C$13:$C$16,P30)&amp;CHAR(10)&amp;"M: "&amp;INDEX('Equipo y roles'!$D$13:$D$16,P30)&amp;CHAR(10)&amp;"D: "&amp;INDEX('Equipo y roles'!$E$13:$E$16,P30))</f>
        <v>A: Isabel Flores Huamaní
M: Oriol Romero Saavedra
D: Leomar Bonzano Chavez</v>
      </c>
      <c r="P30" s="15" t="n">
        <v>3</v>
      </c>
      <c r="Q30" s="16" t="s">
        <v>39</v>
      </c>
      <c r="R30" s="22" t="s">
        <v>118</v>
      </c>
    </row>
    <row r="31" customFormat="false" ht="45.75" hidden="false" customHeight="true" outlineLevel="0" collapsed="false">
      <c r="A31" s="15" t="n">
        <f aca="false">IF(H31="","",COUNTIF($H$11:H31,"?*"))</f>
        <v>17</v>
      </c>
      <c r="B31" s="16" t="s">
        <v>117</v>
      </c>
      <c r="C31" s="17" t="n">
        <v>46329</v>
      </c>
      <c r="D31" s="15" t="str">
        <f aca="false">IF(C31="","",CHOOSE(WEEKDAY(C31,2),"Lunes","Martes","Miércoles","Jueves","Viernes","Sábado","Domingo"))</f>
        <v>Martes</v>
      </c>
      <c r="E31" s="18" t="n">
        <v>0.472222222222222</v>
      </c>
      <c r="F31" s="18" t="n">
        <v>0.541666666666667</v>
      </c>
      <c r="G31" s="19" t="n">
        <f aca="false">IF(AND(E31&lt;&gt;"",F31&lt;&gt;""),F31-E31,"")</f>
        <v>0.0694444444444445</v>
      </c>
      <c r="H31" s="20" t="s">
        <v>41</v>
      </c>
      <c r="I31" s="21" t="s">
        <v>42</v>
      </c>
      <c r="J31" s="22" t="s">
        <v>43</v>
      </c>
      <c r="K31" s="22" t="s">
        <v>44</v>
      </c>
      <c r="L31" s="22" t="s">
        <v>87</v>
      </c>
      <c r="M31" s="15" t="s">
        <v>37</v>
      </c>
      <c r="N31" s="23" t="s">
        <v>38</v>
      </c>
      <c r="O31" s="22" t="str">
        <f aca="false">IF(P31="","","A: "&amp;INDEX('Equipo y roles'!$C$13:$C$16,P31)&amp;CHAR(10)&amp;"M: "&amp;INDEX('Equipo y roles'!$D$13:$D$16,P31)&amp;CHAR(10)&amp;"D: "&amp;INDEX('Equipo y roles'!$E$13:$E$16,P31))</f>
        <v>A: Isabel Flores Huamaní
M: Oriol Romero Saavedra
D: Leomar Bonzano Chavez</v>
      </c>
      <c r="P31" s="15" t="n">
        <v>3</v>
      </c>
      <c r="Q31" s="16" t="s">
        <v>39</v>
      </c>
      <c r="R31" s="22" t="s">
        <v>119</v>
      </c>
    </row>
    <row r="32" customFormat="false" ht="45.75" hidden="false" customHeight="true" outlineLevel="0" collapsed="false">
      <c r="A32" s="15" t="n">
        <f aca="false">IF(H32="","",COUNTIF($H$11:H32,"?*"))</f>
        <v>18</v>
      </c>
      <c r="B32" s="16" t="s">
        <v>117</v>
      </c>
      <c r="C32" s="17" t="n">
        <v>46329</v>
      </c>
      <c r="D32" s="15" t="str">
        <f aca="false">IF(C32="","",CHOOSE(WEEKDAY(C32,2),"Lunes","Martes","Miércoles","Jueves","Viernes","Sábado","Domingo"))</f>
        <v>Martes</v>
      </c>
      <c r="E32" s="18" t="n">
        <v>0.604166666666667</v>
      </c>
      <c r="F32" s="18" t="n">
        <v>0.673611111111111</v>
      </c>
      <c r="G32" s="19" t="n">
        <f aca="false">IF(AND(E32&lt;&gt;"",F32&lt;&gt;""),F32-E32,"")</f>
        <v>0.0694444444444445</v>
      </c>
      <c r="H32" s="20" t="s">
        <v>46</v>
      </c>
      <c r="I32" s="21" t="s">
        <v>47</v>
      </c>
      <c r="J32" s="22" t="s">
        <v>48</v>
      </c>
      <c r="K32" s="22" t="s">
        <v>49</v>
      </c>
      <c r="L32" s="22" t="s">
        <v>87</v>
      </c>
      <c r="M32" s="15" t="s">
        <v>37</v>
      </c>
      <c r="N32" s="23" t="s">
        <v>38</v>
      </c>
      <c r="O32" s="22" t="str">
        <f aca="false">IF(P32="","","A: "&amp;INDEX('Equipo y roles'!$C$13:$C$16,P32)&amp;CHAR(10)&amp;"M: "&amp;INDEX('Equipo y roles'!$D$13:$D$16,P32)&amp;CHAR(10)&amp;"D: "&amp;INDEX('Equipo y roles'!$E$13:$E$16,P32))</f>
        <v>A: Isabel Flores Huamaní
M: Oriol Romero Saavedra
D: Leomar Bonzano Chavez</v>
      </c>
      <c r="P32" s="15" t="n">
        <v>3</v>
      </c>
      <c r="Q32" s="16" t="s">
        <v>39</v>
      </c>
      <c r="R32" s="22" t="s">
        <v>120</v>
      </c>
    </row>
    <row r="33" customFormat="false" ht="45.75" hidden="false" customHeight="true" outlineLevel="0" collapsed="false">
      <c r="A33" s="24" t="n">
        <f aca="false">IF(H33="","",COUNTIF($H$11:H33,"?*"))</f>
        <v>19</v>
      </c>
      <c r="B33" s="25" t="s">
        <v>117</v>
      </c>
      <c r="C33" s="26" t="n">
        <v>46330</v>
      </c>
      <c r="D33" s="24" t="str">
        <f aca="false">IF(C33="","",CHOOSE(WEEKDAY(C33,2),"Lunes","Martes","Miércoles","Jueves","Viernes","Sábado","Domingo"))</f>
        <v>Miércoles</v>
      </c>
      <c r="E33" s="27" t="n">
        <v>0.395833333333333</v>
      </c>
      <c r="F33" s="27" t="n">
        <v>0.465277777777778</v>
      </c>
      <c r="G33" s="28" t="n">
        <f aca="false">IF(AND(E33&lt;&gt;"",F33&lt;&gt;""),F33-E33,"")</f>
        <v>0.0694444444444445</v>
      </c>
      <c r="H33" s="29" t="s">
        <v>51</v>
      </c>
      <c r="I33" s="30" t="s">
        <v>52</v>
      </c>
      <c r="J33" s="31" t="s">
        <v>53</v>
      </c>
      <c r="K33" s="31" t="s">
        <v>54</v>
      </c>
      <c r="L33" s="31" t="s">
        <v>36</v>
      </c>
      <c r="M33" s="24" t="s">
        <v>37</v>
      </c>
      <c r="N33" s="32" t="s">
        <v>38</v>
      </c>
      <c r="O33" s="31" t="str">
        <f aca="false">IF(P33="","","A: "&amp;INDEX('Equipo y roles'!$C$13:$C$16,P33)&amp;CHAR(10)&amp;"M: "&amp;INDEX('Equipo y roles'!$D$13:$D$16,P33)&amp;CHAR(10)&amp;"D: "&amp;INDEX('Equipo y roles'!$E$13:$E$16,P33))</f>
        <v>A: Isabel Flores Huamaní
M: Oriol Romero Saavedra
D: Leomar Bonzano Chavez</v>
      </c>
      <c r="P33" s="24" t="n">
        <v>3</v>
      </c>
      <c r="Q33" s="25" t="s">
        <v>39</v>
      </c>
      <c r="R33" s="31" t="s">
        <v>121</v>
      </c>
    </row>
    <row r="34" customFormat="false" ht="45.75" hidden="false" customHeight="true" outlineLevel="0" collapsed="false">
      <c r="A34" s="24" t="n">
        <f aca="false">IF(H34="","",COUNTIF($H$11:H34,"?*"))</f>
        <v>20</v>
      </c>
      <c r="B34" s="25" t="s">
        <v>117</v>
      </c>
      <c r="C34" s="26" t="n">
        <v>46330</v>
      </c>
      <c r="D34" s="24" t="str">
        <f aca="false">IF(C34="","",CHOOSE(WEEKDAY(C34,2),"Lunes","Martes","Miércoles","Jueves","Viernes","Sábado","Domingo"))</f>
        <v>Miércoles</v>
      </c>
      <c r="E34" s="27" t="n">
        <v>0.472222222222222</v>
      </c>
      <c r="F34" s="27" t="n">
        <v>0.541666666666667</v>
      </c>
      <c r="G34" s="28" t="n">
        <f aca="false">IF(AND(E34&lt;&gt;"",F34&lt;&gt;""),F34-E34,"")</f>
        <v>0.0694444444444445</v>
      </c>
      <c r="H34" s="29" t="s">
        <v>56</v>
      </c>
      <c r="I34" s="30" t="s">
        <v>57</v>
      </c>
      <c r="J34" s="31" t="s">
        <v>58</v>
      </c>
      <c r="K34" s="31" t="s">
        <v>59</v>
      </c>
      <c r="L34" s="31" t="s">
        <v>36</v>
      </c>
      <c r="M34" s="24" t="s">
        <v>37</v>
      </c>
      <c r="N34" s="32" t="s">
        <v>38</v>
      </c>
      <c r="O34" s="31" t="str">
        <f aca="false">IF(P34="","","A: "&amp;INDEX('Equipo y roles'!$C$13:$C$16,P34)&amp;CHAR(10)&amp;"M: "&amp;INDEX('Equipo y roles'!$D$13:$D$16,P34)&amp;CHAR(10)&amp;"D: "&amp;INDEX('Equipo y roles'!$E$13:$E$16,P34))</f>
        <v>A: Isabel Flores Huamaní
M: Oriol Romero Saavedra
D: Leomar Bonzano Chavez</v>
      </c>
      <c r="P34" s="24" t="n">
        <v>3</v>
      </c>
      <c r="Q34" s="25" t="s">
        <v>39</v>
      </c>
      <c r="R34" s="31" t="s">
        <v>122</v>
      </c>
    </row>
    <row r="35" customFormat="false" ht="45.75" hidden="false" customHeight="true" outlineLevel="0" collapsed="false">
      <c r="A35" s="24" t="n">
        <f aca="false">IF(H35="","",COUNTIF($H$11:H35,"?*"))</f>
        <v>21</v>
      </c>
      <c r="B35" s="25" t="s">
        <v>117</v>
      </c>
      <c r="C35" s="26" t="n">
        <v>46330</v>
      </c>
      <c r="D35" s="24" t="str">
        <f aca="false">IF(C35="","",CHOOSE(WEEKDAY(C35,2),"Lunes","Martes","Miércoles","Jueves","Viernes","Sábado","Domingo"))</f>
        <v>Miércoles</v>
      </c>
      <c r="E35" s="27" t="n">
        <v>0.604166666666667</v>
      </c>
      <c r="F35" s="27" t="n">
        <v>0.65625</v>
      </c>
      <c r="G35" s="28" t="n">
        <f aca="false">IF(AND(E35&lt;&gt;"",F35&lt;&gt;""),F35-E35,"")</f>
        <v>0.0520833333333333</v>
      </c>
      <c r="H35" s="29" t="s">
        <v>61</v>
      </c>
      <c r="I35" s="30" t="s">
        <v>62</v>
      </c>
      <c r="J35" s="31" t="s">
        <v>63</v>
      </c>
      <c r="K35" s="31" t="s">
        <v>64</v>
      </c>
      <c r="L35" s="31" t="s">
        <v>36</v>
      </c>
      <c r="M35" s="24" t="s">
        <v>37</v>
      </c>
      <c r="N35" s="32" t="s">
        <v>38</v>
      </c>
      <c r="O35" s="31" t="str">
        <f aca="false">IF(P35="","","A: "&amp;INDEX('Equipo y roles'!$C$13:$C$16,P35)&amp;CHAR(10)&amp;"M: "&amp;INDEX('Equipo y roles'!$D$13:$D$16,P35)&amp;CHAR(10)&amp;"D: "&amp;INDEX('Equipo y roles'!$E$13:$E$16,P35))</f>
        <v>A: Isabel Flores Huamaní
M: Oriol Romero Saavedra
D: Leomar Bonzano Chavez</v>
      </c>
      <c r="P35" s="24" t="n">
        <v>3</v>
      </c>
      <c r="Q35" s="25" t="s">
        <v>39</v>
      </c>
      <c r="R35" s="31" t="s">
        <v>123</v>
      </c>
    </row>
    <row r="36" customFormat="false" ht="45.75" hidden="false" customHeight="true" outlineLevel="0" collapsed="false">
      <c r="A36" s="15" t="n">
        <f aca="false">IF(H36="","",COUNTIF($H$11:H36,"?*"))</f>
        <v>22</v>
      </c>
      <c r="B36" s="16" t="s">
        <v>117</v>
      </c>
      <c r="C36" s="17" t="n">
        <v>46331</v>
      </c>
      <c r="D36" s="15" t="str">
        <f aca="false">IF(C36="","",CHOOSE(WEEKDAY(C36,2),"Lunes","Martes","Miércoles","Jueves","Viernes","Sábado","Domingo"))</f>
        <v>Jueves</v>
      </c>
      <c r="E36" s="18" t="n">
        <v>0.395833333333333</v>
      </c>
      <c r="F36" s="18" t="n">
        <v>0.465277777777778</v>
      </c>
      <c r="G36" s="19" t="n">
        <f aca="false">IF(AND(E36&lt;&gt;"",F36&lt;&gt;""),F36-E36,"")</f>
        <v>0.0694444444444445</v>
      </c>
      <c r="H36" s="20" t="s">
        <v>70</v>
      </c>
      <c r="I36" s="21" t="s">
        <v>71</v>
      </c>
      <c r="J36" s="22" t="s">
        <v>53</v>
      </c>
      <c r="K36" s="22" t="s">
        <v>54</v>
      </c>
      <c r="L36" s="22" t="s">
        <v>36</v>
      </c>
      <c r="M36" s="15" t="s">
        <v>37</v>
      </c>
      <c r="N36" s="23" t="s">
        <v>38</v>
      </c>
      <c r="O36" s="22" t="str">
        <f aca="false">IF(P36="","","A: "&amp;INDEX('Equipo y roles'!$C$13:$C$16,P36)&amp;CHAR(10)&amp;"M: "&amp;INDEX('Equipo y roles'!$D$13:$D$16,P36)&amp;CHAR(10)&amp;"D: "&amp;INDEX('Equipo y roles'!$E$13:$E$16,P36))</f>
        <v>A: Isabel Flores Huamaní
M: Oriol Romero Saavedra
D: Leomar Bonzano Chavez</v>
      </c>
      <c r="P36" s="15" t="n">
        <v>3</v>
      </c>
      <c r="Q36" s="16" t="s">
        <v>39</v>
      </c>
      <c r="R36" s="22" t="s">
        <v>124</v>
      </c>
    </row>
    <row r="37" customFormat="false" ht="45.75" hidden="false" customHeight="true" outlineLevel="0" collapsed="false">
      <c r="A37" s="15" t="n">
        <f aca="false">IF(H37="","",COUNTIF($H$11:H37,"?*"))</f>
        <v>23</v>
      </c>
      <c r="B37" s="16" t="s">
        <v>117</v>
      </c>
      <c r="C37" s="17" t="n">
        <v>46331</v>
      </c>
      <c r="D37" s="15" t="str">
        <f aca="false">IF(C37="","",CHOOSE(WEEKDAY(C37,2),"Lunes","Martes","Miércoles","Jueves","Viernes","Sábado","Domingo"))</f>
        <v>Jueves</v>
      </c>
      <c r="E37" s="18" t="n">
        <v>0.472222222222222</v>
      </c>
      <c r="F37" s="18" t="n">
        <v>0.541666666666667</v>
      </c>
      <c r="G37" s="19" t="n">
        <f aca="false">IF(AND(E37&lt;&gt;"",F37&lt;&gt;""),F37-E37,"")</f>
        <v>0.0694444444444445</v>
      </c>
      <c r="H37" s="20" t="s">
        <v>73</v>
      </c>
      <c r="I37" s="21" t="s">
        <v>74</v>
      </c>
      <c r="J37" s="22" t="s">
        <v>75</v>
      </c>
      <c r="K37" s="22" t="s">
        <v>76</v>
      </c>
      <c r="L37" s="22" t="s">
        <v>36</v>
      </c>
      <c r="M37" s="15" t="s">
        <v>37</v>
      </c>
      <c r="N37" s="23" t="s">
        <v>38</v>
      </c>
      <c r="O37" s="22" t="str">
        <f aca="false">IF(P37="","","A: "&amp;INDEX('Equipo y roles'!$C$13:$C$16,P37)&amp;CHAR(10)&amp;"M: "&amp;INDEX('Equipo y roles'!$D$13:$D$16,P37)&amp;CHAR(10)&amp;"D: "&amp;INDEX('Equipo y roles'!$E$13:$E$16,P37))</f>
        <v>A: Isabel Flores Huamaní
M: Oriol Romero Saavedra
D: Leomar Bonzano Chavez</v>
      </c>
      <c r="P37" s="15" t="n">
        <v>3</v>
      </c>
      <c r="Q37" s="16" t="s">
        <v>39</v>
      </c>
      <c r="R37" s="22" t="s">
        <v>125</v>
      </c>
    </row>
    <row r="38" customFormat="false" ht="45.75" hidden="false" customHeight="true" outlineLevel="0" collapsed="false">
      <c r="A38" s="15" t="n">
        <f aca="false">IF(H38="","",COUNTIF($H$11:H38,"?*"))</f>
        <v>24</v>
      </c>
      <c r="B38" s="16" t="s">
        <v>117</v>
      </c>
      <c r="C38" s="17" t="n">
        <v>46331</v>
      </c>
      <c r="D38" s="15" t="str">
        <f aca="false">IF(C38="","",CHOOSE(WEEKDAY(C38,2),"Lunes","Martes","Miércoles","Jueves","Viernes","Sábado","Domingo"))</f>
        <v>Jueves</v>
      </c>
      <c r="E38" s="18" t="n">
        <v>0.604166666666667</v>
      </c>
      <c r="F38" s="18" t="n">
        <v>0.65625</v>
      </c>
      <c r="G38" s="19" t="n">
        <f aca="false">IF(AND(E38&lt;&gt;"",F38&lt;&gt;""),F38-E38,"")</f>
        <v>0.0520833333333333</v>
      </c>
      <c r="H38" s="20" t="s">
        <v>78</v>
      </c>
      <c r="I38" s="21" t="s">
        <v>79</v>
      </c>
      <c r="J38" s="22" t="s">
        <v>80</v>
      </c>
      <c r="K38" s="22" t="s">
        <v>81</v>
      </c>
      <c r="L38" s="22" t="s">
        <v>36</v>
      </c>
      <c r="M38" s="15" t="s">
        <v>37</v>
      </c>
      <c r="N38" s="23" t="s">
        <v>38</v>
      </c>
      <c r="O38" s="22" t="str">
        <f aca="false">IF(P38="","","A: "&amp;INDEX('Equipo y roles'!$C$13:$C$16,P38)&amp;CHAR(10)&amp;"M: "&amp;INDEX('Equipo y roles'!$D$13:$D$16,P38)&amp;CHAR(10)&amp;"D: "&amp;INDEX('Equipo y roles'!$E$13:$E$16,P38))</f>
        <v>A: Isabel Flores Huamaní
M: Oriol Romero Saavedra
D: Leomar Bonzano Chavez</v>
      </c>
      <c r="P38" s="15" t="n">
        <v>3</v>
      </c>
      <c r="Q38" s="16" t="s">
        <v>39</v>
      </c>
      <c r="R38" s="22" t="s">
        <v>126</v>
      </c>
    </row>
    <row r="39" customFormat="false" ht="24" hidden="false" customHeight="true" outlineLevel="0" collapsed="false">
      <c r="A39" s="33" t="str">
        <f aca="false">IF(H39="","",COUNTIF($H$11:H39,"?*"))</f>
        <v/>
      </c>
      <c r="B39" s="33" t="s">
        <v>66</v>
      </c>
      <c r="C39" s="34" t="n">
        <v>46332</v>
      </c>
      <c r="D39" s="33" t="str">
        <f aca="false">IF(C39="","",CHOOSE(WEEKDAY(C39,2),"Lunes","Martes","Miércoles","Jueves","Viernes","Sábado","Domingo"))</f>
        <v>Viernes</v>
      </c>
      <c r="E39" s="33"/>
      <c r="F39" s="33"/>
      <c r="G39" s="33"/>
      <c r="H39" s="33"/>
      <c r="I39" s="35" t="s">
        <v>67</v>
      </c>
      <c r="J39" s="35"/>
      <c r="K39" s="35"/>
      <c r="L39" s="36" t="s">
        <v>109</v>
      </c>
      <c r="M39" s="33"/>
      <c r="N39" s="37"/>
      <c r="O39" s="36"/>
      <c r="P39" s="33"/>
      <c r="Q39" s="33"/>
      <c r="R39" s="36" t="s">
        <v>127</v>
      </c>
    </row>
    <row r="40" customFormat="false" ht="45.75" hidden="false" customHeight="true" outlineLevel="0" collapsed="false">
      <c r="A40" s="15" t="n">
        <f aca="false">IF(H40="","",COUNTIF($H$11:H40,"?*"))</f>
        <v>25</v>
      </c>
      <c r="B40" s="16" t="s">
        <v>117</v>
      </c>
      <c r="C40" s="17" t="n">
        <v>46335</v>
      </c>
      <c r="D40" s="15" t="str">
        <f aca="false">IF(C40="","",CHOOSE(WEEKDAY(C40,2),"Lunes","Martes","Miércoles","Jueves","Viernes","Sábado","Domingo"))</f>
        <v>Lunes</v>
      </c>
      <c r="E40" s="18" t="n">
        <v>0.395833333333333</v>
      </c>
      <c r="F40" s="18" t="n">
        <v>0.465277777777778</v>
      </c>
      <c r="G40" s="19" t="n">
        <f aca="false">IF(AND(E40&lt;&gt;"",F40&lt;&gt;""),F40-E40,"")</f>
        <v>0.0694444444444445</v>
      </c>
      <c r="H40" s="20" t="s">
        <v>83</v>
      </c>
      <c r="I40" s="21" t="s">
        <v>84</v>
      </c>
      <c r="J40" s="22" t="s">
        <v>85</v>
      </c>
      <c r="K40" s="22" t="s">
        <v>86</v>
      </c>
      <c r="L40" s="22" t="s">
        <v>36</v>
      </c>
      <c r="M40" s="15" t="s">
        <v>37</v>
      </c>
      <c r="N40" s="23" t="s">
        <v>38</v>
      </c>
      <c r="O40" s="22" t="str">
        <f aca="false">IF(P40="","","A: "&amp;INDEX('Equipo y roles'!$C$13:$C$16,P40)&amp;CHAR(10)&amp;"M: "&amp;INDEX('Equipo y roles'!$D$13:$D$16,P40)&amp;CHAR(10)&amp;"D: "&amp;INDEX('Equipo y roles'!$E$13:$E$16,P40))</f>
        <v>A: Isabel Flores Huamaní
M: Oriol Romero Saavedra
D: Leomar Bonzano Chavez</v>
      </c>
      <c r="P40" s="15" t="n">
        <v>4</v>
      </c>
      <c r="Q40" s="16" t="s">
        <v>39</v>
      </c>
      <c r="R40" s="22" t="s">
        <v>128</v>
      </c>
    </row>
    <row r="41" customFormat="false" ht="45.75" hidden="false" customHeight="true" outlineLevel="0" collapsed="false">
      <c r="A41" s="15" t="n">
        <f aca="false">IF(H41="","",COUNTIF($H$11:H41,"?*"))</f>
        <v>26</v>
      </c>
      <c r="B41" s="16" t="s">
        <v>117</v>
      </c>
      <c r="C41" s="17" t="n">
        <v>46335</v>
      </c>
      <c r="D41" s="15" t="str">
        <f aca="false">IF(C41="","",CHOOSE(WEEKDAY(C41,2),"Lunes","Martes","Miércoles","Jueves","Viernes","Sábado","Domingo"))</f>
        <v>Lunes</v>
      </c>
      <c r="E41" s="18" t="n">
        <v>0.472222222222222</v>
      </c>
      <c r="F41" s="18" t="n">
        <v>0.541666666666667</v>
      </c>
      <c r="G41" s="19" t="n">
        <f aca="false">IF(AND(E41&lt;&gt;"",F41&lt;&gt;""),F41-E41,"")</f>
        <v>0.0694444444444445</v>
      </c>
      <c r="H41" s="20" t="s">
        <v>89</v>
      </c>
      <c r="I41" s="21" t="s">
        <v>90</v>
      </c>
      <c r="J41" s="22" t="s">
        <v>91</v>
      </c>
      <c r="K41" s="22" t="s">
        <v>92</v>
      </c>
      <c r="L41" s="22" t="s">
        <v>36</v>
      </c>
      <c r="M41" s="15" t="s">
        <v>37</v>
      </c>
      <c r="N41" s="23" t="s">
        <v>38</v>
      </c>
      <c r="O41" s="22" t="str">
        <f aca="false">IF(P41="","","A: "&amp;INDEX('Equipo y roles'!$C$13:$C$16,P41)&amp;CHAR(10)&amp;"M: "&amp;INDEX('Equipo y roles'!$D$13:$D$16,P41)&amp;CHAR(10)&amp;"D: "&amp;INDEX('Equipo y roles'!$E$13:$E$16,P41))</f>
        <v>A: Isabel Flores Huamaní
M: Oriol Romero Saavedra
D: Leomar Bonzano Chavez</v>
      </c>
      <c r="P41" s="15" t="n">
        <v>4</v>
      </c>
      <c r="Q41" s="16" t="s">
        <v>39</v>
      </c>
      <c r="R41" s="22" t="s">
        <v>129</v>
      </c>
    </row>
    <row r="42" customFormat="false" ht="45.75" hidden="false" customHeight="true" outlineLevel="0" collapsed="false">
      <c r="A42" s="15" t="n">
        <f aca="false">IF(H42="","",COUNTIF($H$11:H42,"?*"))</f>
        <v>27</v>
      </c>
      <c r="B42" s="16" t="s">
        <v>117</v>
      </c>
      <c r="C42" s="17" t="n">
        <v>46335</v>
      </c>
      <c r="D42" s="15" t="str">
        <f aca="false">IF(C42="","",CHOOSE(WEEKDAY(C42,2),"Lunes","Martes","Miércoles","Jueves","Viernes","Sábado","Domingo"))</f>
        <v>Lunes</v>
      </c>
      <c r="E42" s="18" t="n">
        <v>0.604166666666667</v>
      </c>
      <c r="F42" s="18" t="n">
        <v>0.65625</v>
      </c>
      <c r="G42" s="19" t="n">
        <f aca="false">IF(AND(E42&lt;&gt;"",F42&lt;&gt;""),F42-E42,"")</f>
        <v>0.0520833333333333</v>
      </c>
      <c r="H42" s="20" t="s">
        <v>94</v>
      </c>
      <c r="I42" s="21" t="s">
        <v>95</v>
      </c>
      <c r="J42" s="22" t="s">
        <v>96</v>
      </c>
      <c r="K42" s="22" t="s">
        <v>97</v>
      </c>
      <c r="L42" s="22" t="s">
        <v>36</v>
      </c>
      <c r="M42" s="15" t="s">
        <v>37</v>
      </c>
      <c r="N42" s="23" t="s">
        <v>38</v>
      </c>
      <c r="O42" s="22" t="str">
        <f aca="false">IF(P42="","","A: "&amp;INDEX('Equipo y roles'!$C$13:$C$16,P42)&amp;CHAR(10)&amp;"M: "&amp;INDEX('Equipo y roles'!$D$13:$D$16,P42)&amp;CHAR(10)&amp;"D: "&amp;INDEX('Equipo y roles'!$E$13:$E$16,P42))</f>
        <v>A: Isabel Flores Huamaní
M: Oriol Romero Saavedra
D: Leomar Bonzano Chavez</v>
      </c>
      <c r="P42" s="15" t="n">
        <v>4</v>
      </c>
      <c r="Q42" s="16" t="s">
        <v>39</v>
      </c>
      <c r="R42" s="22" t="s">
        <v>130</v>
      </c>
    </row>
    <row r="43" customFormat="false" ht="45.75" hidden="false" customHeight="true" outlineLevel="0" collapsed="false">
      <c r="A43" s="24" t="n">
        <f aca="false">IF(H43="","",COUNTIF($H$11:H43,"?*"))</f>
        <v>28</v>
      </c>
      <c r="B43" s="25" t="s">
        <v>117</v>
      </c>
      <c r="C43" s="26" t="n">
        <v>46336</v>
      </c>
      <c r="D43" s="24" t="str">
        <f aca="false">IF(C43="","",CHOOSE(WEEKDAY(C43,2),"Lunes","Martes","Miércoles","Jueves","Viernes","Sábado","Domingo"))</f>
        <v>Martes</v>
      </c>
      <c r="E43" s="27" t="n">
        <v>0.395833333333333</v>
      </c>
      <c r="F43" s="27" t="n">
        <v>0.465277777777778</v>
      </c>
      <c r="G43" s="28" t="n">
        <f aca="false">IF(AND(E43&lt;&gt;"",F43&lt;&gt;""),F43-E43,"")</f>
        <v>0.0694444444444445</v>
      </c>
      <c r="H43" s="29" t="s">
        <v>99</v>
      </c>
      <c r="I43" s="30" t="s">
        <v>100</v>
      </c>
      <c r="J43" s="31" t="s">
        <v>101</v>
      </c>
      <c r="K43" s="31" t="s">
        <v>102</v>
      </c>
      <c r="L43" s="31" t="s">
        <v>36</v>
      </c>
      <c r="M43" s="24" t="s">
        <v>37</v>
      </c>
      <c r="N43" s="32" t="s">
        <v>38</v>
      </c>
      <c r="O43" s="31" t="str">
        <f aca="false">IF(P43="","","A: "&amp;INDEX('Equipo y roles'!$C$13:$C$16,P43)&amp;CHAR(10)&amp;"M: "&amp;INDEX('Equipo y roles'!$D$13:$D$16,P43)&amp;CHAR(10)&amp;"D: "&amp;INDEX('Equipo y roles'!$E$13:$E$16,P43))</f>
        <v>A: Isabel Flores Huamaní
M: Oriol Romero Saavedra
D: Leomar Bonzano Chavez</v>
      </c>
      <c r="P43" s="24" t="n">
        <v>4</v>
      </c>
      <c r="Q43" s="25" t="s">
        <v>39</v>
      </c>
      <c r="R43" s="31" t="s">
        <v>131</v>
      </c>
    </row>
    <row r="44" customFormat="false" ht="45.75" hidden="false" customHeight="true" outlineLevel="0" collapsed="false">
      <c r="A44" s="24" t="n">
        <f aca="false">IF(H44="","",COUNTIF($H$11:H44,"?*"))</f>
        <v>29</v>
      </c>
      <c r="B44" s="25" t="s">
        <v>117</v>
      </c>
      <c r="C44" s="26" t="n">
        <v>46336</v>
      </c>
      <c r="D44" s="24" t="str">
        <f aca="false">IF(C44="","",CHOOSE(WEEKDAY(C44,2),"Lunes","Martes","Miércoles","Jueves","Viernes","Sábado","Domingo"))</f>
        <v>Martes</v>
      </c>
      <c r="E44" s="27" t="n">
        <v>0.472222222222222</v>
      </c>
      <c r="F44" s="27" t="n">
        <v>0.541666666666667</v>
      </c>
      <c r="G44" s="28" t="n">
        <f aca="false">IF(AND(E44&lt;&gt;"",F44&lt;&gt;""),F44-E44,"")</f>
        <v>0.0694444444444445</v>
      </c>
      <c r="H44" s="29" t="s">
        <v>104</v>
      </c>
      <c r="I44" s="30" t="s">
        <v>105</v>
      </c>
      <c r="J44" s="31" t="s">
        <v>106</v>
      </c>
      <c r="K44" s="31" t="s">
        <v>107</v>
      </c>
      <c r="L44" s="31" t="s">
        <v>36</v>
      </c>
      <c r="M44" s="24" t="s">
        <v>37</v>
      </c>
      <c r="N44" s="32" t="s">
        <v>38</v>
      </c>
      <c r="O44" s="31" t="str">
        <f aca="false">IF(P44="","","A: "&amp;INDEX('Equipo y roles'!$C$13:$C$16,P44)&amp;CHAR(10)&amp;"M: "&amp;INDEX('Equipo y roles'!$D$13:$D$16,P44)&amp;CHAR(10)&amp;"D: "&amp;INDEX('Equipo y roles'!$E$13:$E$16,P44))</f>
        <v>A: Isabel Flores Huamaní
M: Oriol Romero Saavedra
D: Leomar Bonzano Chavez</v>
      </c>
      <c r="P44" s="24" t="n">
        <v>4</v>
      </c>
      <c r="Q44" s="25" t="s">
        <v>39</v>
      </c>
      <c r="R44" s="31" t="s">
        <v>132</v>
      </c>
    </row>
    <row r="45" customFormat="false" ht="45.75" hidden="false" customHeight="true" outlineLevel="0" collapsed="false">
      <c r="A45" s="15" t="n">
        <f aca="false">IF(H45="","",COUNTIF($H$11:H45,"?*"))</f>
        <v>30</v>
      </c>
      <c r="B45" s="16" t="s">
        <v>117</v>
      </c>
      <c r="C45" s="17" t="n">
        <v>46337</v>
      </c>
      <c r="D45" s="15" t="str">
        <f aca="false">IF(C45="","",CHOOSE(WEEKDAY(C45,2),"Lunes","Martes","Miércoles","Jueves","Viernes","Sábado","Domingo"))</f>
        <v>Miércoles</v>
      </c>
      <c r="E45" s="18" t="n">
        <v>0.395833333333333</v>
      </c>
      <c r="F45" s="18" t="n">
        <v>0.465277777777778</v>
      </c>
      <c r="G45" s="19" t="n">
        <f aca="false">IF(AND(E45&lt;&gt;"",F45&lt;&gt;""),F45-E45,"")</f>
        <v>0.0694444444444445</v>
      </c>
      <c r="H45" s="20" t="s">
        <v>112</v>
      </c>
      <c r="I45" s="21" t="s">
        <v>113</v>
      </c>
      <c r="J45" s="22" t="s">
        <v>114</v>
      </c>
      <c r="K45" s="22" t="s">
        <v>115</v>
      </c>
      <c r="L45" s="22" t="s">
        <v>36</v>
      </c>
      <c r="M45" s="15" t="s">
        <v>37</v>
      </c>
      <c r="N45" s="23" t="s">
        <v>38</v>
      </c>
      <c r="O45" s="22" t="str">
        <f aca="false">IF(P45="","","A: "&amp;INDEX('Equipo y roles'!$C$13:$C$16,P45)&amp;CHAR(10)&amp;"M: "&amp;INDEX('Equipo y roles'!$D$13:$D$16,P45)&amp;CHAR(10)&amp;"D: "&amp;INDEX('Equipo y roles'!$E$13:$E$16,P45))</f>
        <v>A: Isabel Flores Huamaní
M: Oriol Romero Saavedra
D: Leomar Bonzano Chavez</v>
      </c>
      <c r="P45" s="15" t="n">
        <v>4</v>
      </c>
      <c r="Q45" s="16" t="s">
        <v>39</v>
      </c>
      <c r="R45" s="22" t="s">
        <v>133</v>
      </c>
    </row>
    <row r="47" customFormat="false" ht="15" hidden="false" customHeight="false" outlineLevel="0" collapsed="false">
      <c r="A47" s="38" t="s">
        <v>134</v>
      </c>
    </row>
    <row r="48" customFormat="false" ht="24" hidden="false" customHeight="true" outlineLevel="0" collapsed="false">
      <c r="A48" s="39" t="s">
        <v>135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</row>
    <row r="49" customFormat="false" ht="24" hidden="false" customHeight="true" outlineLevel="0" collapsed="false">
      <c r="A49" s="39" t="s">
        <v>136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</row>
    <row r="50" customFormat="false" ht="24" hidden="false" customHeight="true" outlineLevel="0" collapsed="false">
      <c r="A50" s="39" t="s">
        <v>137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</row>
    <row r="51" customFormat="false" ht="24" hidden="false" customHeight="true" outlineLevel="0" collapsed="false">
      <c r="A51" s="39" t="s">
        <v>138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</row>
  </sheetData>
  <mergeCells count="24">
    <mergeCell ref="A1:R1"/>
    <mergeCell ref="A2:R2"/>
    <mergeCell ref="A3:R3"/>
    <mergeCell ref="A5:C5"/>
    <mergeCell ref="D5:G5"/>
    <mergeCell ref="H5:I5"/>
    <mergeCell ref="L5:N5"/>
    <mergeCell ref="O5:R5"/>
    <mergeCell ref="A6:C6"/>
    <mergeCell ref="D6:G6"/>
    <mergeCell ref="H6:I6"/>
    <mergeCell ref="L6:N6"/>
    <mergeCell ref="O6:R6"/>
    <mergeCell ref="A8:I8"/>
    <mergeCell ref="J8:R8"/>
    <mergeCell ref="A11:R11"/>
    <mergeCell ref="I18:K18"/>
    <mergeCell ref="I27:K27"/>
    <mergeCell ref="A28:R28"/>
    <mergeCell ref="I39:K39"/>
    <mergeCell ref="A48:R48"/>
    <mergeCell ref="A49:R49"/>
    <mergeCell ref="A50:R50"/>
    <mergeCell ref="A51:R51"/>
  </mergeCells>
  <conditionalFormatting sqref="Q11:Q45">
    <cfRule type="cellIs" priority="2" operator="equal" aboveAverage="0" equalAverage="0" bottom="0" percent="0" rank="0" text="" dxfId="0">
      <formula>"Confirmado"</formula>
    </cfRule>
    <cfRule type="cellIs" priority="3" operator="equal" aboveAverage="0" equalAverage="0" bottom="0" percent="0" rank="0" text="" dxfId="1">
      <formula>"Pendiente"</formula>
    </cfRule>
    <cfRule type="cellIs" priority="4" operator="equal" aboveAverage="0" equalAverage="0" bottom="0" percent="0" rank="0" text="" dxfId="2">
      <formula>"Reprogramar"</formula>
    </cfRule>
  </conditionalFormatting>
  <conditionalFormatting sqref="R11:R45">
    <cfRule type="expression" priority="5" aboveAverage="0" equalAverage="0" bottom="0" percent="0" rank="0" text="" dxfId="1">
      <formula>ISNUMBER(SEARCH("POR CONFIRMAR",R11))</formula>
    </cfRule>
  </conditionalFormatting>
  <conditionalFormatting sqref="B11:B45">
    <cfRule type="cellIs" priority="6" operator="equal" aboveAverage="0" equalAverage="0" bottom="0" percent="0" rank="0" text="" dxfId="3">
      <formula>"2.ª visita"</formula>
    </cfRule>
    <cfRule type="cellIs" priority="7" operator="equal" aboveAverage="0" equalAverage="0" bottom="0" percent="0" rank="0" text="" dxfId="4">
      <formula>"1.ª visita"</formula>
    </cfRule>
  </conditionalFormatting>
  <dataValidations count="1">
    <dataValidation allowBlank="true" errorStyle="stop" operator="between" showDropDown="false" showErrorMessage="false" showInputMessage="false" sqref="Q12:Q17 Q19:Q26 Q29:Q38 Q40:Q45" type="list">
      <formula1>"Confirmado,Pendiente,Reprogramar"</formula1>
      <formula2>0</formula2>
    </dataValidation>
  </dataValidations>
  <hyperlinks>
    <hyperlink ref="N12" r:id="rId1" display="Google Meet"/>
    <hyperlink ref="N13" r:id="rId2" display="Google Meet"/>
    <hyperlink ref="N14" r:id="rId3" display="Google Meet"/>
    <hyperlink ref="N15" r:id="rId4" display="Google Meet"/>
    <hyperlink ref="N16" r:id="rId5" display="Google Meet"/>
    <hyperlink ref="N17" r:id="rId6" display="Google Meet"/>
    <hyperlink ref="N19" r:id="rId7" display="Google Meet"/>
    <hyperlink ref="N20" r:id="rId8" display="Google Meet"/>
    <hyperlink ref="N21" r:id="rId9" display="Google Meet"/>
    <hyperlink ref="N22" r:id="rId10" display="Google Meet"/>
    <hyperlink ref="N23" r:id="rId11" display="Google Meet"/>
    <hyperlink ref="N24" r:id="rId12" display="Google Meet"/>
    <hyperlink ref="N25" r:id="rId13" display="Google Meet"/>
    <hyperlink ref="N26" r:id="rId14" display="Google Meet"/>
    <hyperlink ref="N29" r:id="rId15" display="Google Meet"/>
    <hyperlink ref="N30" r:id="rId16" display="Google Meet"/>
    <hyperlink ref="N31" r:id="rId17" display="Google Meet"/>
    <hyperlink ref="N32" r:id="rId18" display="Google Meet"/>
    <hyperlink ref="N33" r:id="rId19" display="Google Meet"/>
    <hyperlink ref="N34" r:id="rId20" display="Google Meet"/>
    <hyperlink ref="N35" r:id="rId21" display="Google Meet"/>
    <hyperlink ref="N36" r:id="rId22" display="Google Meet"/>
    <hyperlink ref="N37" r:id="rId23" display="Google Meet"/>
    <hyperlink ref="N38" r:id="rId24" display="Google Meet"/>
    <hyperlink ref="N40" r:id="rId25" display="Google Meet"/>
    <hyperlink ref="N41" r:id="rId26" display="Google Meet"/>
    <hyperlink ref="N42" r:id="rId27" display="Google Meet"/>
    <hyperlink ref="N43" r:id="rId28" display="Google Meet"/>
    <hyperlink ref="N44" r:id="rId29" display="Google Meet"/>
    <hyperlink ref="N45" r:id="rId30" display="Google Meet"/>
  </hyperlinks>
  <printOptions headings="false" gridLines="false" gridLinesSet="true" horizontalCentered="true" verticalCentered="false"/>
  <pageMargins left="0.4" right="0.4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&amp;LOGPL · Oficina de Racionalización&amp;CPágina &amp;P de &amp;N&amp;RCronograma FPSIC · Fase 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315F"/>
    <pageSetUpPr fitToPage="true"/>
  </sheetPr>
  <dimension ref="A1:U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20" min="4" style="0" width="7.2"/>
    <col collapsed="false" customWidth="true" hidden="false" outlineLevel="0" max="21" min="21" style="0" width="9"/>
  </cols>
  <sheetData>
    <row r="1" customFormat="false" ht="30" hidden="false" customHeight="true" outlineLevel="0" collapsed="false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9.5" hidden="false" customHeight="true" outlineLevel="0" collapsed="false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customFormat="false" ht="18" hidden="false" customHeight="true" outlineLevel="0" collapsed="false">
      <c r="A5" s="3" t="s">
        <v>141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customFormat="false" ht="15" hidden="false" customHeight="true" outlineLevel="0" collapsed="false">
      <c r="A6" s="40" t="s">
        <v>19</v>
      </c>
      <c r="B6" s="40" t="s">
        <v>20</v>
      </c>
      <c r="C6" s="40" t="s">
        <v>21</v>
      </c>
      <c r="D6" s="41" t="n">
        <v>46315</v>
      </c>
      <c r="E6" s="41" t="n">
        <v>46316</v>
      </c>
      <c r="F6" s="41" t="n">
        <v>46317</v>
      </c>
      <c r="G6" s="41" t="n">
        <v>46318</v>
      </c>
      <c r="H6" s="41" t="n">
        <v>46321</v>
      </c>
      <c r="I6" s="41" t="n">
        <v>46322</v>
      </c>
      <c r="J6" s="41" t="n">
        <v>46323</v>
      </c>
      <c r="K6" s="41" t="n">
        <v>46324</v>
      </c>
      <c r="L6" s="41" t="n">
        <v>46325</v>
      </c>
      <c r="M6" s="41" t="n">
        <v>46328</v>
      </c>
      <c r="N6" s="41" t="n">
        <v>46329</v>
      </c>
      <c r="O6" s="41" t="n">
        <v>46330</v>
      </c>
      <c r="P6" s="41" t="n">
        <v>46331</v>
      </c>
      <c r="Q6" s="41" t="n">
        <v>46332</v>
      </c>
      <c r="R6" s="41" t="n">
        <v>46335</v>
      </c>
      <c r="S6" s="41" t="n">
        <v>46336</v>
      </c>
      <c r="T6" s="41" t="n">
        <v>46337</v>
      </c>
      <c r="U6" s="40" t="s">
        <v>142</v>
      </c>
    </row>
    <row r="7" customFormat="false" ht="15" hidden="false" customHeight="false" outlineLevel="0" collapsed="false">
      <c r="A7" s="40"/>
      <c r="B7" s="40"/>
      <c r="C7" s="40"/>
      <c r="D7" s="42" t="str">
        <f aca="false">LEFT(CHOOSE(WEEKDAY(D$6,2),"Lunes","Martes","Miércoles","Jueves","Viernes","Sábado","Domingo"),3)</f>
        <v>Mar</v>
      </c>
      <c r="E7" s="42" t="str">
        <f aca="false">LEFT(CHOOSE(WEEKDAY(E$6,2),"Lunes","Martes","Miércoles","Jueves","Viernes","Sábado","Domingo"),3)</f>
        <v>Mié</v>
      </c>
      <c r="F7" s="42" t="str">
        <f aca="false">LEFT(CHOOSE(WEEKDAY(F$6,2),"Lunes","Martes","Miércoles","Jueves","Viernes","Sábado","Domingo"),3)</f>
        <v>Jue</v>
      </c>
      <c r="G7" s="42" t="str">
        <f aca="false">LEFT(CHOOSE(WEEKDAY(G$6,2),"Lunes","Martes","Miércoles","Jueves","Viernes","Sábado","Domingo"),3)</f>
        <v>Vie</v>
      </c>
      <c r="H7" s="42" t="str">
        <f aca="false">LEFT(CHOOSE(WEEKDAY(H$6,2),"Lunes","Martes","Miércoles","Jueves","Viernes","Sábado","Domingo"),3)</f>
        <v>Lun</v>
      </c>
      <c r="I7" s="42" t="str">
        <f aca="false">LEFT(CHOOSE(WEEKDAY(I$6,2),"Lunes","Martes","Miércoles","Jueves","Viernes","Sábado","Domingo"),3)</f>
        <v>Mar</v>
      </c>
      <c r="J7" s="42" t="str">
        <f aca="false">LEFT(CHOOSE(WEEKDAY(J$6,2),"Lunes","Martes","Miércoles","Jueves","Viernes","Sábado","Domingo"),3)</f>
        <v>Mié</v>
      </c>
      <c r="K7" s="42" t="str">
        <f aca="false">LEFT(CHOOSE(WEEKDAY(K$6,2),"Lunes","Martes","Miércoles","Jueves","Viernes","Sábado","Domingo"),3)</f>
        <v>Jue</v>
      </c>
      <c r="L7" s="42" t="str">
        <f aca="false">LEFT(CHOOSE(WEEKDAY(L$6,2),"Lunes","Martes","Miércoles","Jueves","Viernes","Sábado","Domingo"),3)</f>
        <v>Vie</v>
      </c>
      <c r="M7" s="42" t="str">
        <f aca="false">LEFT(CHOOSE(WEEKDAY(M$6,2),"Lunes","Martes","Miércoles","Jueves","Viernes","Sábado","Domingo"),3)</f>
        <v>Lun</v>
      </c>
      <c r="N7" s="42" t="str">
        <f aca="false">LEFT(CHOOSE(WEEKDAY(N$6,2),"Lunes","Martes","Miércoles","Jueves","Viernes","Sábado","Domingo"),3)</f>
        <v>Mar</v>
      </c>
      <c r="O7" s="42" t="str">
        <f aca="false">LEFT(CHOOSE(WEEKDAY(O$6,2),"Lunes","Martes","Miércoles","Jueves","Viernes","Sábado","Domingo"),3)</f>
        <v>Mié</v>
      </c>
      <c r="P7" s="42" t="str">
        <f aca="false">LEFT(CHOOSE(WEEKDAY(P$6,2),"Lunes","Martes","Miércoles","Jueves","Viernes","Sábado","Domingo"),3)</f>
        <v>Jue</v>
      </c>
      <c r="Q7" s="42" t="str">
        <f aca="false">LEFT(CHOOSE(WEEKDAY(Q$6,2),"Lunes","Martes","Miércoles","Jueves","Viernes","Sábado","Domingo"),3)</f>
        <v>Vie</v>
      </c>
      <c r="R7" s="42" t="str">
        <f aca="false">LEFT(CHOOSE(WEEKDAY(R$6,2),"Lunes","Martes","Miércoles","Jueves","Viernes","Sábado","Domingo"),3)</f>
        <v>Lun</v>
      </c>
      <c r="S7" s="42" t="str">
        <f aca="false">LEFT(CHOOSE(WEEKDAY(S$6,2),"Lunes","Martes","Miércoles","Jueves","Viernes","Sábado","Domingo"),3)</f>
        <v>Mar</v>
      </c>
      <c r="T7" s="42" t="str">
        <f aca="false">LEFT(CHOOSE(WEEKDAY(T$6,2),"Lunes","Martes","Miércoles","Jueves","Viernes","Sábado","Domingo"),3)</f>
        <v>Mié</v>
      </c>
      <c r="U7" s="40"/>
    </row>
    <row r="8" customFormat="false" ht="15" hidden="false" customHeight="false" outlineLevel="0" collapsed="false">
      <c r="A8" s="40"/>
      <c r="B8" s="40"/>
      <c r="C8" s="40"/>
      <c r="D8" s="43" t="str">
        <f aca="false">IF(D$6=DATE(2026,10,20),"Apert.",IF(COUNTIFS(Cronograma!$C$11:$C$45,D$6,Cronograma!$B$11:$B$45,"Equipo")&gt;0,"Equipo",""))</f>
        <v>Apert.</v>
      </c>
      <c r="E8" s="43" t="str">
        <f aca="false">IF(E$6=DATE(2026,10,20),"Apert.",IF(COUNTIFS(Cronograma!$C$11:$C$45,E$6,Cronograma!$B$11:$B$45,"Equipo")&gt;0,"Equipo",""))</f>
        <v/>
      </c>
      <c r="F8" s="43" t="str">
        <f aca="false">IF(F$6=DATE(2026,10,20),"Apert.",IF(COUNTIFS(Cronograma!$C$11:$C$45,F$6,Cronograma!$B$11:$B$45,"Equipo")&gt;0,"Equipo",""))</f>
        <v/>
      </c>
      <c r="G8" s="43" t="str">
        <f aca="false">IF(G$6=DATE(2026,10,20),"Apert.",IF(COUNTIFS(Cronograma!$C$11:$C$45,G$6,Cronograma!$B$11:$B$45,"Equipo")&gt;0,"Equipo",""))</f>
        <v/>
      </c>
      <c r="H8" s="43" t="str">
        <f aca="false">IF(H$6=DATE(2026,10,20),"Apert.",IF(COUNTIFS(Cronograma!$C$11:$C$45,H$6,Cronograma!$B$11:$B$45,"Equipo")&gt;0,"Equipo",""))</f>
        <v>Equipo</v>
      </c>
      <c r="I8" s="43" t="str">
        <f aca="false">IF(I$6=DATE(2026,10,20),"Apert.",IF(COUNTIFS(Cronograma!$C$11:$C$45,I$6,Cronograma!$B$11:$B$45,"Equipo")&gt;0,"Equipo",""))</f>
        <v/>
      </c>
      <c r="J8" s="43" t="str">
        <f aca="false">IF(J$6=DATE(2026,10,20),"Apert.",IF(COUNTIFS(Cronograma!$C$11:$C$45,J$6,Cronograma!$B$11:$B$45,"Equipo")&gt;0,"Equipo",""))</f>
        <v/>
      </c>
      <c r="K8" s="43" t="str">
        <f aca="false">IF(K$6=DATE(2026,10,20),"Apert.",IF(COUNTIFS(Cronograma!$C$11:$C$45,K$6,Cronograma!$B$11:$B$45,"Equipo")&gt;0,"Equipo",""))</f>
        <v/>
      </c>
      <c r="L8" s="43" t="str">
        <f aca="false">IF(L$6=DATE(2026,10,20),"Apert.",IF(COUNTIFS(Cronograma!$C$11:$C$45,L$6,Cronograma!$B$11:$B$45,"Equipo")&gt;0,"Equipo",""))</f>
        <v>Equipo</v>
      </c>
      <c r="M8" s="43" t="str">
        <f aca="false">IF(M$6=DATE(2026,10,20),"Apert.",IF(COUNTIFS(Cronograma!$C$11:$C$45,M$6,Cronograma!$B$11:$B$45,"Equipo")&gt;0,"Equipo",""))</f>
        <v/>
      </c>
      <c r="N8" s="43" t="str">
        <f aca="false">IF(N$6=DATE(2026,10,20),"Apert.",IF(COUNTIFS(Cronograma!$C$11:$C$45,N$6,Cronograma!$B$11:$B$45,"Equipo")&gt;0,"Equipo",""))</f>
        <v/>
      </c>
      <c r="O8" s="43" t="str">
        <f aca="false">IF(O$6=DATE(2026,10,20),"Apert.",IF(COUNTIFS(Cronograma!$C$11:$C$45,O$6,Cronograma!$B$11:$B$45,"Equipo")&gt;0,"Equipo",""))</f>
        <v/>
      </c>
      <c r="P8" s="43" t="str">
        <f aca="false">IF(P$6=DATE(2026,10,20),"Apert.",IF(COUNTIFS(Cronograma!$C$11:$C$45,P$6,Cronograma!$B$11:$B$45,"Equipo")&gt;0,"Equipo",""))</f>
        <v/>
      </c>
      <c r="Q8" s="43" t="str">
        <f aca="false">IF(Q$6=DATE(2026,10,20),"Apert.",IF(COUNTIFS(Cronograma!$C$11:$C$45,Q$6,Cronograma!$B$11:$B$45,"Equipo")&gt;0,"Equipo",""))</f>
        <v>Equipo</v>
      </c>
      <c r="R8" s="43" t="str">
        <f aca="false">IF(R$6=DATE(2026,10,20),"Apert.",IF(COUNTIFS(Cronograma!$C$11:$C$45,R$6,Cronograma!$B$11:$B$45,"Equipo")&gt;0,"Equipo",""))</f>
        <v/>
      </c>
      <c r="S8" s="43" t="str">
        <f aca="false">IF(S$6=DATE(2026,10,20),"Apert.",IF(COUNTIFS(Cronograma!$C$11:$C$45,S$6,Cronograma!$B$11:$B$45,"Equipo")&gt;0,"Equipo",""))</f>
        <v/>
      </c>
      <c r="T8" s="43" t="str">
        <f aca="false">IF(T$6=DATE(2026,10,20),"Apert.",IF(COUNTIFS(Cronograma!$C$11:$C$45,T$6,Cronograma!$B$11:$B$45,"Equipo")&gt;0,"Equipo",""))</f>
        <v/>
      </c>
      <c r="U8" s="40"/>
    </row>
    <row r="9" customFormat="false" ht="30" hidden="false" customHeight="true" outlineLevel="0" collapsed="false">
      <c r="A9" s="44" t="s">
        <v>32</v>
      </c>
      <c r="B9" s="45" t="s">
        <v>33</v>
      </c>
      <c r="C9" s="46" t="s">
        <v>34</v>
      </c>
      <c r="D9" s="47" t="str">
        <f aca="false">IF(COUNTIFS(Cronograma!$H$11:$H$45,$A9,Cronograma!$C$11:$C$45,D$6)=0,"",IF(COUNTIFS(Cronograma!$H$11:$H$45,$A9,Cronograma!$C$11:$C$45,D$6,Cronograma!$B$11:$B$45,"1.ª visita")&gt;0,"1.ª","2.ª"))</f>
        <v/>
      </c>
      <c r="E9" s="47" t="str">
        <f aca="false">IF(COUNTIFS(Cronograma!$H$11:$H$45,$A9,Cronograma!$C$11:$C$45,E$6)=0,"",IF(COUNTIFS(Cronograma!$H$11:$H$45,$A9,Cronograma!$C$11:$C$45,E$6,Cronograma!$B$11:$B$45,"1.ª visita")&gt;0,"1.ª","2.ª"))</f>
        <v>1.ª</v>
      </c>
      <c r="F9" s="47" t="str">
        <f aca="false">IF(COUNTIFS(Cronograma!$H$11:$H$45,$A9,Cronograma!$C$11:$C$45,F$6)=0,"",IF(COUNTIFS(Cronograma!$H$11:$H$45,$A9,Cronograma!$C$11:$C$45,F$6,Cronograma!$B$11:$B$45,"1.ª visita")&gt;0,"1.ª","2.ª"))</f>
        <v/>
      </c>
      <c r="G9" s="47" t="str">
        <f aca="false">IF(COUNTIFS(Cronograma!$H$11:$H$45,$A9,Cronograma!$C$11:$C$45,G$6)=0,"",IF(COUNTIFS(Cronograma!$H$11:$H$45,$A9,Cronograma!$C$11:$C$45,G$6,Cronograma!$B$11:$B$45,"1.ª visita")&gt;0,"1.ª","2.ª"))</f>
        <v/>
      </c>
      <c r="H9" s="47" t="str">
        <f aca="false">IF(COUNTIFS(Cronograma!$H$11:$H$45,$A9,Cronograma!$C$11:$C$45,H$6)=0,"",IF(COUNTIFS(Cronograma!$H$11:$H$45,$A9,Cronograma!$C$11:$C$45,H$6,Cronograma!$B$11:$B$45,"1.ª visita")&gt;0,"1.ª","2.ª"))</f>
        <v/>
      </c>
      <c r="I9" s="47" t="str">
        <f aca="false">IF(COUNTIFS(Cronograma!$H$11:$H$45,$A9,Cronograma!$C$11:$C$45,I$6)=0,"",IF(COUNTIFS(Cronograma!$H$11:$H$45,$A9,Cronograma!$C$11:$C$45,I$6,Cronograma!$B$11:$B$45,"1.ª visita")&gt;0,"1.ª","2.ª"))</f>
        <v/>
      </c>
      <c r="J9" s="47" t="str">
        <f aca="false">IF(COUNTIFS(Cronograma!$H$11:$H$45,$A9,Cronograma!$C$11:$C$45,J$6)=0,"",IF(COUNTIFS(Cronograma!$H$11:$H$45,$A9,Cronograma!$C$11:$C$45,J$6,Cronograma!$B$11:$B$45,"1.ª visita")&gt;0,"1.ª","2.ª"))</f>
        <v/>
      </c>
      <c r="K9" s="47" t="str">
        <f aca="false">IF(COUNTIFS(Cronograma!$H$11:$H$45,$A9,Cronograma!$C$11:$C$45,K$6)=0,"",IF(COUNTIFS(Cronograma!$H$11:$H$45,$A9,Cronograma!$C$11:$C$45,K$6,Cronograma!$B$11:$B$45,"1.ª visita")&gt;0,"1.ª","2.ª"))</f>
        <v/>
      </c>
      <c r="L9" s="47" t="str">
        <f aca="false">IF(COUNTIFS(Cronograma!$H$11:$H$45,$A9,Cronograma!$C$11:$C$45,L$6)=0,"",IF(COUNTIFS(Cronograma!$H$11:$H$45,$A9,Cronograma!$C$11:$C$45,L$6,Cronograma!$B$11:$B$45,"1.ª visita")&gt;0,"1.ª","2.ª"))</f>
        <v/>
      </c>
      <c r="M9" s="47" t="str">
        <f aca="false">IF(COUNTIFS(Cronograma!$H$11:$H$45,$A9,Cronograma!$C$11:$C$45,M$6)=0,"",IF(COUNTIFS(Cronograma!$H$11:$H$45,$A9,Cronograma!$C$11:$C$45,M$6,Cronograma!$B$11:$B$45,"1.ª visita")&gt;0,"1.ª","2.ª"))</f>
        <v/>
      </c>
      <c r="N9" s="47" t="str">
        <f aca="false">IF(COUNTIFS(Cronograma!$H$11:$H$45,$A9,Cronograma!$C$11:$C$45,N$6)=0,"",IF(COUNTIFS(Cronograma!$H$11:$H$45,$A9,Cronograma!$C$11:$C$45,N$6,Cronograma!$B$11:$B$45,"1.ª visita")&gt;0,"1.ª","2.ª"))</f>
        <v>2.ª</v>
      </c>
      <c r="O9" s="47" t="str">
        <f aca="false">IF(COUNTIFS(Cronograma!$H$11:$H$45,$A9,Cronograma!$C$11:$C$45,O$6)=0,"",IF(COUNTIFS(Cronograma!$H$11:$H$45,$A9,Cronograma!$C$11:$C$45,O$6,Cronograma!$B$11:$B$45,"1.ª visita")&gt;0,"1.ª","2.ª"))</f>
        <v/>
      </c>
      <c r="P9" s="47" t="str">
        <f aca="false">IF(COUNTIFS(Cronograma!$H$11:$H$45,$A9,Cronograma!$C$11:$C$45,P$6)=0,"",IF(COUNTIFS(Cronograma!$H$11:$H$45,$A9,Cronograma!$C$11:$C$45,P$6,Cronograma!$B$11:$B$45,"1.ª visita")&gt;0,"1.ª","2.ª"))</f>
        <v/>
      </c>
      <c r="Q9" s="47" t="str">
        <f aca="false">IF(COUNTIFS(Cronograma!$H$11:$H$45,$A9,Cronograma!$C$11:$C$45,Q$6)=0,"",IF(COUNTIFS(Cronograma!$H$11:$H$45,$A9,Cronograma!$C$11:$C$45,Q$6,Cronograma!$B$11:$B$45,"1.ª visita")&gt;0,"1.ª","2.ª"))</f>
        <v/>
      </c>
      <c r="R9" s="47" t="str">
        <f aca="false">IF(COUNTIFS(Cronograma!$H$11:$H$45,$A9,Cronograma!$C$11:$C$45,R$6)=0,"",IF(COUNTIFS(Cronograma!$H$11:$H$45,$A9,Cronograma!$C$11:$C$45,R$6,Cronograma!$B$11:$B$45,"1.ª visita")&gt;0,"1.ª","2.ª"))</f>
        <v/>
      </c>
      <c r="S9" s="47" t="str">
        <f aca="false">IF(COUNTIFS(Cronograma!$H$11:$H$45,$A9,Cronograma!$C$11:$C$45,S$6)=0,"",IF(COUNTIFS(Cronograma!$H$11:$H$45,$A9,Cronograma!$C$11:$C$45,S$6,Cronograma!$B$11:$B$45,"1.ª visita")&gt;0,"1.ª","2.ª"))</f>
        <v/>
      </c>
      <c r="T9" s="47" t="str">
        <f aca="false">IF(COUNTIFS(Cronograma!$H$11:$H$45,$A9,Cronograma!$C$11:$C$45,T$6)=0,"",IF(COUNTIFS(Cronograma!$H$11:$H$45,$A9,Cronograma!$C$11:$C$45,T$6,Cronograma!$B$11:$B$45,"1.ª visita")&gt;0,"1.ª","2.ª"))</f>
        <v/>
      </c>
      <c r="U9" s="48" t="n">
        <f aca="false">COUNTIF(Cronograma!$H$11:$H$45,$A9)</f>
        <v>2</v>
      </c>
    </row>
    <row r="10" customFormat="false" ht="30" hidden="false" customHeight="true" outlineLevel="0" collapsed="false">
      <c r="A10" s="44" t="s">
        <v>41</v>
      </c>
      <c r="B10" s="45" t="s">
        <v>42</v>
      </c>
      <c r="C10" s="46" t="s">
        <v>43</v>
      </c>
      <c r="D10" s="47" t="str">
        <f aca="false">IF(COUNTIFS(Cronograma!$H$11:$H$45,$A10,Cronograma!$C$11:$C$45,D$6)=0,"",IF(COUNTIFS(Cronograma!$H$11:$H$45,$A10,Cronograma!$C$11:$C$45,D$6,Cronograma!$B$11:$B$45,"1.ª visita")&gt;0,"1.ª","2.ª"))</f>
        <v/>
      </c>
      <c r="E10" s="47" t="str">
        <f aca="false">IF(COUNTIFS(Cronograma!$H$11:$H$45,$A10,Cronograma!$C$11:$C$45,E$6)=0,"",IF(COUNTIFS(Cronograma!$H$11:$H$45,$A10,Cronograma!$C$11:$C$45,E$6,Cronograma!$B$11:$B$45,"1.ª visita")&gt;0,"1.ª","2.ª"))</f>
        <v>1.ª</v>
      </c>
      <c r="F10" s="47" t="str">
        <f aca="false">IF(COUNTIFS(Cronograma!$H$11:$H$45,$A10,Cronograma!$C$11:$C$45,F$6)=0,"",IF(COUNTIFS(Cronograma!$H$11:$H$45,$A10,Cronograma!$C$11:$C$45,F$6,Cronograma!$B$11:$B$45,"1.ª visita")&gt;0,"1.ª","2.ª"))</f>
        <v/>
      </c>
      <c r="G10" s="47" t="str">
        <f aca="false">IF(COUNTIFS(Cronograma!$H$11:$H$45,$A10,Cronograma!$C$11:$C$45,G$6)=0,"",IF(COUNTIFS(Cronograma!$H$11:$H$45,$A10,Cronograma!$C$11:$C$45,G$6,Cronograma!$B$11:$B$45,"1.ª visita")&gt;0,"1.ª","2.ª"))</f>
        <v/>
      </c>
      <c r="H10" s="47" t="str">
        <f aca="false">IF(COUNTIFS(Cronograma!$H$11:$H$45,$A10,Cronograma!$C$11:$C$45,H$6)=0,"",IF(COUNTIFS(Cronograma!$H$11:$H$45,$A10,Cronograma!$C$11:$C$45,H$6,Cronograma!$B$11:$B$45,"1.ª visita")&gt;0,"1.ª","2.ª"))</f>
        <v/>
      </c>
      <c r="I10" s="47" t="str">
        <f aca="false">IF(COUNTIFS(Cronograma!$H$11:$H$45,$A10,Cronograma!$C$11:$C$45,I$6)=0,"",IF(COUNTIFS(Cronograma!$H$11:$H$45,$A10,Cronograma!$C$11:$C$45,I$6,Cronograma!$B$11:$B$45,"1.ª visita")&gt;0,"1.ª","2.ª"))</f>
        <v/>
      </c>
      <c r="J10" s="47" t="str">
        <f aca="false">IF(COUNTIFS(Cronograma!$H$11:$H$45,$A10,Cronograma!$C$11:$C$45,J$6)=0,"",IF(COUNTIFS(Cronograma!$H$11:$H$45,$A10,Cronograma!$C$11:$C$45,J$6,Cronograma!$B$11:$B$45,"1.ª visita")&gt;0,"1.ª","2.ª"))</f>
        <v/>
      </c>
      <c r="K10" s="47" t="str">
        <f aca="false">IF(COUNTIFS(Cronograma!$H$11:$H$45,$A10,Cronograma!$C$11:$C$45,K$6)=0,"",IF(COUNTIFS(Cronograma!$H$11:$H$45,$A10,Cronograma!$C$11:$C$45,K$6,Cronograma!$B$11:$B$45,"1.ª visita")&gt;0,"1.ª","2.ª"))</f>
        <v/>
      </c>
      <c r="L10" s="47" t="str">
        <f aca="false">IF(COUNTIFS(Cronograma!$H$11:$H$45,$A10,Cronograma!$C$11:$C$45,L$6)=0,"",IF(COUNTIFS(Cronograma!$H$11:$H$45,$A10,Cronograma!$C$11:$C$45,L$6,Cronograma!$B$11:$B$45,"1.ª visita")&gt;0,"1.ª","2.ª"))</f>
        <v/>
      </c>
      <c r="M10" s="47" t="str">
        <f aca="false">IF(COUNTIFS(Cronograma!$H$11:$H$45,$A10,Cronograma!$C$11:$C$45,M$6)=0,"",IF(COUNTIFS(Cronograma!$H$11:$H$45,$A10,Cronograma!$C$11:$C$45,M$6,Cronograma!$B$11:$B$45,"1.ª visita")&gt;0,"1.ª","2.ª"))</f>
        <v/>
      </c>
      <c r="N10" s="47" t="str">
        <f aca="false">IF(COUNTIFS(Cronograma!$H$11:$H$45,$A10,Cronograma!$C$11:$C$45,N$6)=0,"",IF(COUNTIFS(Cronograma!$H$11:$H$45,$A10,Cronograma!$C$11:$C$45,N$6,Cronograma!$B$11:$B$45,"1.ª visita")&gt;0,"1.ª","2.ª"))</f>
        <v>2.ª</v>
      </c>
      <c r="O10" s="47" t="str">
        <f aca="false">IF(COUNTIFS(Cronograma!$H$11:$H$45,$A10,Cronograma!$C$11:$C$45,O$6)=0,"",IF(COUNTIFS(Cronograma!$H$11:$H$45,$A10,Cronograma!$C$11:$C$45,O$6,Cronograma!$B$11:$B$45,"1.ª visita")&gt;0,"1.ª","2.ª"))</f>
        <v/>
      </c>
      <c r="P10" s="47" t="str">
        <f aca="false">IF(COUNTIFS(Cronograma!$H$11:$H$45,$A10,Cronograma!$C$11:$C$45,P$6)=0,"",IF(COUNTIFS(Cronograma!$H$11:$H$45,$A10,Cronograma!$C$11:$C$45,P$6,Cronograma!$B$11:$B$45,"1.ª visita")&gt;0,"1.ª","2.ª"))</f>
        <v/>
      </c>
      <c r="Q10" s="47" t="str">
        <f aca="false">IF(COUNTIFS(Cronograma!$H$11:$H$45,$A10,Cronograma!$C$11:$C$45,Q$6)=0,"",IF(COUNTIFS(Cronograma!$H$11:$H$45,$A10,Cronograma!$C$11:$C$45,Q$6,Cronograma!$B$11:$B$45,"1.ª visita")&gt;0,"1.ª","2.ª"))</f>
        <v/>
      </c>
      <c r="R10" s="47" t="str">
        <f aca="false">IF(COUNTIFS(Cronograma!$H$11:$H$45,$A10,Cronograma!$C$11:$C$45,R$6)=0,"",IF(COUNTIFS(Cronograma!$H$11:$H$45,$A10,Cronograma!$C$11:$C$45,R$6,Cronograma!$B$11:$B$45,"1.ª visita")&gt;0,"1.ª","2.ª"))</f>
        <v/>
      </c>
      <c r="S10" s="47" t="str">
        <f aca="false">IF(COUNTIFS(Cronograma!$H$11:$H$45,$A10,Cronograma!$C$11:$C$45,S$6)=0,"",IF(COUNTIFS(Cronograma!$H$11:$H$45,$A10,Cronograma!$C$11:$C$45,S$6,Cronograma!$B$11:$B$45,"1.ª visita")&gt;0,"1.ª","2.ª"))</f>
        <v/>
      </c>
      <c r="T10" s="47" t="str">
        <f aca="false">IF(COUNTIFS(Cronograma!$H$11:$H$45,$A10,Cronograma!$C$11:$C$45,T$6)=0,"",IF(COUNTIFS(Cronograma!$H$11:$H$45,$A10,Cronograma!$C$11:$C$45,T$6,Cronograma!$B$11:$B$45,"1.ª visita")&gt;0,"1.ª","2.ª"))</f>
        <v/>
      </c>
      <c r="U10" s="48" t="n">
        <f aca="false">COUNTIF(Cronograma!$H$11:$H$45,$A10)</f>
        <v>2</v>
      </c>
    </row>
    <row r="11" customFormat="false" ht="43.5" hidden="false" customHeight="true" outlineLevel="0" collapsed="false">
      <c r="A11" s="44" t="s">
        <v>46</v>
      </c>
      <c r="B11" s="45" t="s">
        <v>47</v>
      </c>
      <c r="C11" s="46" t="s">
        <v>48</v>
      </c>
      <c r="D11" s="47" t="str">
        <f aca="false">IF(COUNTIFS(Cronograma!$H$11:$H$45,$A11,Cronograma!$C$11:$C$45,D$6)=0,"",IF(COUNTIFS(Cronograma!$H$11:$H$45,$A11,Cronograma!$C$11:$C$45,D$6,Cronograma!$B$11:$B$45,"1.ª visita")&gt;0,"1.ª","2.ª"))</f>
        <v/>
      </c>
      <c r="E11" s="47" t="str">
        <f aca="false">IF(COUNTIFS(Cronograma!$H$11:$H$45,$A11,Cronograma!$C$11:$C$45,E$6)=0,"",IF(COUNTIFS(Cronograma!$H$11:$H$45,$A11,Cronograma!$C$11:$C$45,E$6,Cronograma!$B$11:$B$45,"1.ª visita")&gt;0,"1.ª","2.ª"))</f>
        <v>1.ª</v>
      </c>
      <c r="F11" s="47" t="str">
        <f aca="false">IF(COUNTIFS(Cronograma!$H$11:$H$45,$A11,Cronograma!$C$11:$C$45,F$6)=0,"",IF(COUNTIFS(Cronograma!$H$11:$H$45,$A11,Cronograma!$C$11:$C$45,F$6,Cronograma!$B$11:$B$45,"1.ª visita")&gt;0,"1.ª","2.ª"))</f>
        <v/>
      </c>
      <c r="G11" s="47" t="str">
        <f aca="false">IF(COUNTIFS(Cronograma!$H$11:$H$45,$A11,Cronograma!$C$11:$C$45,G$6)=0,"",IF(COUNTIFS(Cronograma!$H$11:$H$45,$A11,Cronograma!$C$11:$C$45,G$6,Cronograma!$B$11:$B$45,"1.ª visita")&gt;0,"1.ª","2.ª"))</f>
        <v/>
      </c>
      <c r="H11" s="47" t="str">
        <f aca="false">IF(COUNTIFS(Cronograma!$H$11:$H$45,$A11,Cronograma!$C$11:$C$45,H$6)=0,"",IF(COUNTIFS(Cronograma!$H$11:$H$45,$A11,Cronograma!$C$11:$C$45,H$6,Cronograma!$B$11:$B$45,"1.ª visita")&gt;0,"1.ª","2.ª"))</f>
        <v/>
      </c>
      <c r="I11" s="47" t="str">
        <f aca="false">IF(COUNTIFS(Cronograma!$H$11:$H$45,$A11,Cronograma!$C$11:$C$45,I$6)=0,"",IF(COUNTIFS(Cronograma!$H$11:$H$45,$A11,Cronograma!$C$11:$C$45,I$6,Cronograma!$B$11:$B$45,"1.ª visita")&gt;0,"1.ª","2.ª"))</f>
        <v/>
      </c>
      <c r="J11" s="47" t="str">
        <f aca="false">IF(COUNTIFS(Cronograma!$H$11:$H$45,$A11,Cronograma!$C$11:$C$45,J$6)=0,"",IF(COUNTIFS(Cronograma!$H$11:$H$45,$A11,Cronograma!$C$11:$C$45,J$6,Cronograma!$B$11:$B$45,"1.ª visita")&gt;0,"1.ª","2.ª"))</f>
        <v/>
      </c>
      <c r="K11" s="47" t="str">
        <f aca="false">IF(COUNTIFS(Cronograma!$H$11:$H$45,$A11,Cronograma!$C$11:$C$45,K$6)=0,"",IF(COUNTIFS(Cronograma!$H$11:$H$45,$A11,Cronograma!$C$11:$C$45,K$6,Cronograma!$B$11:$B$45,"1.ª visita")&gt;0,"1.ª","2.ª"))</f>
        <v/>
      </c>
      <c r="L11" s="47" t="str">
        <f aca="false">IF(COUNTIFS(Cronograma!$H$11:$H$45,$A11,Cronograma!$C$11:$C$45,L$6)=0,"",IF(COUNTIFS(Cronograma!$H$11:$H$45,$A11,Cronograma!$C$11:$C$45,L$6,Cronograma!$B$11:$B$45,"1.ª visita")&gt;0,"1.ª","2.ª"))</f>
        <v/>
      </c>
      <c r="M11" s="47" t="str">
        <f aca="false">IF(COUNTIFS(Cronograma!$H$11:$H$45,$A11,Cronograma!$C$11:$C$45,M$6)=0,"",IF(COUNTIFS(Cronograma!$H$11:$H$45,$A11,Cronograma!$C$11:$C$45,M$6,Cronograma!$B$11:$B$45,"1.ª visita")&gt;0,"1.ª","2.ª"))</f>
        <v/>
      </c>
      <c r="N11" s="47" t="str">
        <f aca="false">IF(COUNTIFS(Cronograma!$H$11:$H$45,$A11,Cronograma!$C$11:$C$45,N$6)=0,"",IF(COUNTIFS(Cronograma!$H$11:$H$45,$A11,Cronograma!$C$11:$C$45,N$6,Cronograma!$B$11:$B$45,"1.ª visita")&gt;0,"1.ª","2.ª"))</f>
        <v>2.ª</v>
      </c>
      <c r="O11" s="47" t="str">
        <f aca="false">IF(COUNTIFS(Cronograma!$H$11:$H$45,$A11,Cronograma!$C$11:$C$45,O$6)=0,"",IF(COUNTIFS(Cronograma!$H$11:$H$45,$A11,Cronograma!$C$11:$C$45,O$6,Cronograma!$B$11:$B$45,"1.ª visita")&gt;0,"1.ª","2.ª"))</f>
        <v/>
      </c>
      <c r="P11" s="47" t="str">
        <f aca="false">IF(COUNTIFS(Cronograma!$H$11:$H$45,$A11,Cronograma!$C$11:$C$45,P$6)=0,"",IF(COUNTIFS(Cronograma!$H$11:$H$45,$A11,Cronograma!$C$11:$C$45,P$6,Cronograma!$B$11:$B$45,"1.ª visita")&gt;0,"1.ª","2.ª"))</f>
        <v/>
      </c>
      <c r="Q11" s="47" t="str">
        <f aca="false">IF(COUNTIFS(Cronograma!$H$11:$H$45,$A11,Cronograma!$C$11:$C$45,Q$6)=0,"",IF(COUNTIFS(Cronograma!$H$11:$H$45,$A11,Cronograma!$C$11:$C$45,Q$6,Cronograma!$B$11:$B$45,"1.ª visita")&gt;0,"1.ª","2.ª"))</f>
        <v/>
      </c>
      <c r="R11" s="47" t="str">
        <f aca="false">IF(COUNTIFS(Cronograma!$H$11:$H$45,$A11,Cronograma!$C$11:$C$45,R$6)=0,"",IF(COUNTIFS(Cronograma!$H$11:$H$45,$A11,Cronograma!$C$11:$C$45,R$6,Cronograma!$B$11:$B$45,"1.ª visita")&gt;0,"1.ª","2.ª"))</f>
        <v/>
      </c>
      <c r="S11" s="47" t="str">
        <f aca="false">IF(COUNTIFS(Cronograma!$H$11:$H$45,$A11,Cronograma!$C$11:$C$45,S$6)=0,"",IF(COUNTIFS(Cronograma!$H$11:$H$45,$A11,Cronograma!$C$11:$C$45,S$6,Cronograma!$B$11:$B$45,"1.ª visita")&gt;0,"1.ª","2.ª"))</f>
        <v/>
      </c>
      <c r="T11" s="47" t="str">
        <f aca="false">IF(COUNTIFS(Cronograma!$H$11:$H$45,$A11,Cronograma!$C$11:$C$45,T$6)=0,"",IF(COUNTIFS(Cronograma!$H$11:$H$45,$A11,Cronograma!$C$11:$C$45,T$6,Cronograma!$B$11:$B$45,"1.ª visita")&gt;0,"1.ª","2.ª"))</f>
        <v/>
      </c>
      <c r="U11" s="48" t="n">
        <f aca="false">COUNTIF(Cronograma!$H$11:$H$45,$A11)</f>
        <v>2</v>
      </c>
    </row>
    <row r="12" customFormat="false" ht="30" hidden="false" customHeight="true" outlineLevel="0" collapsed="false">
      <c r="A12" s="44" t="s">
        <v>51</v>
      </c>
      <c r="B12" s="45" t="s">
        <v>52</v>
      </c>
      <c r="C12" s="46" t="s">
        <v>53</v>
      </c>
      <c r="D12" s="47" t="str">
        <f aca="false">IF(COUNTIFS(Cronograma!$H$11:$H$45,$A12,Cronograma!$C$11:$C$45,D$6)=0,"",IF(COUNTIFS(Cronograma!$H$11:$H$45,$A12,Cronograma!$C$11:$C$45,D$6,Cronograma!$B$11:$B$45,"1.ª visita")&gt;0,"1.ª","2.ª"))</f>
        <v/>
      </c>
      <c r="E12" s="47" t="str">
        <f aca="false">IF(COUNTIFS(Cronograma!$H$11:$H$45,$A12,Cronograma!$C$11:$C$45,E$6)=0,"",IF(COUNTIFS(Cronograma!$H$11:$H$45,$A12,Cronograma!$C$11:$C$45,E$6,Cronograma!$B$11:$B$45,"1.ª visita")&gt;0,"1.ª","2.ª"))</f>
        <v/>
      </c>
      <c r="F12" s="47" t="str">
        <f aca="false">IF(COUNTIFS(Cronograma!$H$11:$H$45,$A12,Cronograma!$C$11:$C$45,F$6)=0,"",IF(COUNTIFS(Cronograma!$H$11:$H$45,$A12,Cronograma!$C$11:$C$45,F$6,Cronograma!$B$11:$B$45,"1.ª visita")&gt;0,"1.ª","2.ª"))</f>
        <v>1.ª</v>
      </c>
      <c r="G12" s="47" t="str">
        <f aca="false">IF(COUNTIFS(Cronograma!$H$11:$H$45,$A12,Cronograma!$C$11:$C$45,G$6)=0,"",IF(COUNTIFS(Cronograma!$H$11:$H$45,$A12,Cronograma!$C$11:$C$45,G$6,Cronograma!$B$11:$B$45,"1.ª visita")&gt;0,"1.ª","2.ª"))</f>
        <v/>
      </c>
      <c r="H12" s="47" t="str">
        <f aca="false">IF(COUNTIFS(Cronograma!$H$11:$H$45,$A12,Cronograma!$C$11:$C$45,H$6)=0,"",IF(COUNTIFS(Cronograma!$H$11:$H$45,$A12,Cronograma!$C$11:$C$45,H$6,Cronograma!$B$11:$B$45,"1.ª visita")&gt;0,"1.ª","2.ª"))</f>
        <v/>
      </c>
      <c r="I12" s="47" t="str">
        <f aca="false">IF(COUNTIFS(Cronograma!$H$11:$H$45,$A12,Cronograma!$C$11:$C$45,I$6)=0,"",IF(COUNTIFS(Cronograma!$H$11:$H$45,$A12,Cronograma!$C$11:$C$45,I$6,Cronograma!$B$11:$B$45,"1.ª visita")&gt;0,"1.ª","2.ª"))</f>
        <v/>
      </c>
      <c r="J12" s="47" t="str">
        <f aca="false">IF(COUNTIFS(Cronograma!$H$11:$H$45,$A12,Cronograma!$C$11:$C$45,J$6)=0,"",IF(COUNTIFS(Cronograma!$H$11:$H$45,$A12,Cronograma!$C$11:$C$45,J$6,Cronograma!$B$11:$B$45,"1.ª visita")&gt;0,"1.ª","2.ª"))</f>
        <v/>
      </c>
      <c r="K12" s="47" t="str">
        <f aca="false">IF(COUNTIFS(Cronograma!$H$11:$H$45,$A12,Cronograma!$C$11:$C$45,K$6)=0,"",IF(COUNTIFS(Cronograma!$H$11:$H$45,$A12,Cronograma!$C$11:$C$45,K$6,Cronograma!$B$11:$B$45,"1.ª visita")&gt;0,"1.ª","2.ª"))</f>
        <v/>
      </c>
      <c r="L12" s="47" t="str">
        <f aca="false">IF(COUNTIFS(Cronograma!$H$11:$H$45,$A12,Cronograma!$C$11:$C$45,L$6)=0,"",IF(COUNTIFS(Cronograma!$H$11:$H$45,$A12,Cronograma!$C$11:$C$45,L$6,Cronograma!$B$11:$B$45,"1.ª visita")&gt;0,"1.ª","2.ª"))</f>
        <v/>
      </c>
      <c r="M12" s="47" t="str">
        <f aca="false">IF(COUNTIFS(Cronograma!$H$11:$H$45,$A12,Cronograma!$C$11:$C$45,M$6)=0,"",IF(COUNTIFS(Cronograma!$H$11:$H$45,$A12,Cronograma!$C$11:$C$45,M$6,Cronograma!$B$11:$B$45,"1.ª visita")&gt;0,"1.ª","2.ª"))</f>
        <v/>
      </c>
      <c r="N12" s="47" t="str">
        <f aca="false">IF(COUNTIFS(Cronograma!$H$11:$H$45,$A12,Cronograma!$C$11:$C$45,N$6)=0,"",IF(COUNTIFS(Cronograma!$H$11:$H$45,$A12,Cronograma!$C$11:$C$45,N$6,Cronograma!$B$11:$B$45,"1.ª visita")&gt;0,"1.ª","2.ª"))</f>
        <v/>
      </c>
      <c r="O12" s="47" t="str">
        <f aca="false">IF(COUNTIFS(Cronograma!$H$11:$H$45,$A12,Cronograma!$C$11:$C$45,O$6)=0,"",IF(COUNTIFS(Cronograma!$H$11:$H$45,$A12,Cronograma!$C$11:$C$45,O$6,Cronograma!$B$11:$B$45,"1.ª visita")&gt;0,"1.ª","2.ª"))</f>
        <v>2.ª</v>
      </c>
      <c r="P12" s="47" t="str">
        <f aca="false">IF(COUNTIFS(Cronograma!$H$11:$H$45,$A12,Cronograma!$C$11:$C$45,P$6)=0,"",IF(COUNTIFS(Cronograma!$H$11:$H$45,$A12,Cronograma!$C$11:$C$45,P$6,Cronograma!$B$11:$B$45,"1.ª visita")&gt;0,"1.ª","2.ª"))</f>
        <v/>
      </c>
      <c r="Q12" s="47" t="str">
        <f aca="false">IF(COUNTIFS(Cronograma!$H$11:$H$45,$A12,Cronograma!$C$11:$C$45,Q$6)=0,"",IF(COUNTIFS(Cronograma!$H$11:$H$45,$A12,Cronograma!$C$11:$C$45,Q$6,Cronograma!$B$11:$B$45,"1.ª visita")&gt;0,"1.ª","2.ª"))</f>
        <v/>
      </c>
      <c r="R12" s="47" t="str">
        <f aca="false">IF(COUNTIFS(Cronograma!$H$11:$H$45,$A12,Cronograma!$C$11:$C$45,R$6)=0,"",IF(COUNTIFS(Cronograma!$H$11:$H$45,$A12,Cronograma!$C$11:$C$45,R$6,Cronograma!$B$11:$B$45,"1.ª visita")&gt;0,"1.ª","2.ª"))</f>
        <v/>
      </c>
      <c r="S12" s="47" t="str">
        <f aca="false">IF(COUNTIFS(Cronograma!$H$11:$H$45,$A12,Cronograma!$C$11:$C$45,S$6)=0,"",IF(COUNTIFS(Cronograma!$H$11:$H$45,$A12,Cronograma!$C$11:$C$45,S$6,Cronograma!$B$11:$B$45,"1.ª visita")&gt;0,"1.ª","2.ª"))</f>
        <v/>
      </c>
      <c r="T12" s="47" t="str">
        <f aca="false">IF(COUNTIFS(Cronograma!$H$11:$H$45,$A12,Cronograma!$C$11:$C$45,T$6)=0,"",IF(COUNTIFS(Cronograma!$H$11:$H$45,$A12,Cronograma!$C$11:$C$45,T$6,Cronograma!$B$11:$B$45,"1.ª visita")&gt;0,"1.ª","2.ª"))</f>
        <v/>
      </c>
      <c r="U12" s="48" t="n">
        <f aca="false">COUNTIF(Cronograma!$H$11:$H$45,$A12)</f>
        <v>2</v>
      </c>
    </row>
    <row r="13" customFormat="false" ht="30" hidden="false" customHeight="true" outlineLevel="0" collapsed="false">
      <c r="A13" s="44" t="s">
        <v>56</v>
      </c>
      <c r="B13" s="45" t="s">
        <v>57</v>
      </c>
      <c r="C13" s="46" t="s">
        <v>58</v>
      </c>
      <c r="D13" s="47" t="str">
        <f aca="false">IF(COUNTIFS(Cronograma!$H$11:$H$45,$A13,Cronograma!$C$11:$C$45,D$6)=0,"",IF(COUNTIFS(Cronograma!$H$11:$H$45,$A13,Cronograma!$C$11:$C$45,D$6,Cronograma!$B$11:$B$45,"1.ª visita")&gt;0,"1.ª","2.ª"))</f>
        <v/>
      </c>
      <c r="E13" s="47" t="str">
        <f aca="false">IF(COUNTIFS(Cronograma!$H$11:$H$45,$A13,Cronograma!$C$11:$C$45,E$6)=0,"",IF(COUNTIFS(Cronograma!$H$11:$H$45,$A13,Cronograma!$C$11:$C$45,E$6,Cronograma!$B$11:$B$45,"1.ª visita")&gt;0,"1.ª","2.ª"))</f>
        <v/>
      </c>
      <c r="F13" s="47" t="str">
        <f aca="false">IF(COUNTIFS(Cronograma!$H$11:$H$45,$A13,Cronograma!$C$11:$C$45,F$6)=0,"",IF(COUNTIFS(Cronograma!$H$11:$H$45,$A13,Cronograma!$C$11:$C$45,F$6,Cronograma!$B$11:$B$45,"1.ª visita")&gt;0,"1.ª","2.ª"))</f>
        <v>1.ª</v>
      </c>
      <c r="G13" s="47" t="str">
        <f aca="false">IF(COUNTIFS(Cronograma!$H$11:$H$45,$A13,Cronograma!$C$11:$C$45,G$6)=0,"",IF(COUNTIFS(Cronograma!$H$11:$H$45,$A13,Cronograma!$C$11:$C$45,G$6,Cronograma!$B$11:$B$45,"1.ª visita")&gt;0,"1.ª","2.ª"))</f>
        <v/>
      </c>
      <c r="H13" s="47" t="str">
        <f aca="false">IF(COUNTIFS(Cronograma!$H$11:$H$45,$A13,Cronograma!$C$11:$C$45,H$6)=0,"",IF(COUNTIFS(Cronograma!$H$11:$H$45,$A13,Cronograma!$C$11:$C$45,H$6,Cronograma!$B$11:$B$45,"1.ª visita")&gt;0,"1.ª","2.ª"))</f>
        <v/>
      </c>
      <c r="I13" s="47" t="str">
        <f aca="false">IF(COUNTIFS(Cronograma!$H$11:$H$45,$A13,Cronograma!$C$11:$C$45,I$6)=0,"",IF(COUNTIFS(Cronograma!$H$11:$H$45,$A13,Cronograma!$C$11:$C$45,I$6,Cronograma!$B$11:$B$45,"1.ª visita")&gt;0,"1.ª","2.ª"))</f>
        <v/>
      </c>
      <c r="J13" s="47" t="str">
        <f aca="false">IF(COUNTIFS(Cronograma!$H$11:$H$45,$A13,Cronograma!$C$11:$C$45,J$6)=0,"",IF(COUNTIFS(Cronograma!$H$11:$H$45,$A13,Cronograma!$C$11:$C$45,J$6,Cronograma!$B$11:$B$45,"1.ª visita")&gt;0,"1.ª","2.ª"))</f>
        <v/>
      </c>
      <c r="K13" s="47" t="str">
        <f aca="false">IF(COUNTIFS(Cronograma!$H$11:$H$45,$A13,Cronograma!$C$11:$C$45,K$6)=0,"",IF(COUNTIFS(Cronograma!$H$11:$H$45,$A13,Cronograma!$C$11:$C$45,K$6,Cronograma!$B$11:$B$45,"1.ª visita")&gt;0,"1.ª","2.ª"))</f>
        <v/>
      </c>
      <c r="L13" s="47" t="str">
        <f aca="false">IF(COUNTIFS(Cronograma!$H$11:$H$45,$A13,Cronograma!$C$11:$C$45,L$6)=0,"",IF(COUNTIFS(Cronograma!$H$11:$H$45,$A13,Cronograma!$C$11:$C$45,L$6,Cronograma!$B$11:$B$45,"1.ª visita")&gt;0,"1.ª","2.ª"))</f>
        <v/>
      </c>
      <c r="M13" s="47" t="str">
        <f aca="false">IF(COUNTIFS(Cronograma!$H$11:$H$45,$A13,Cronograma!$C$11:$C$45,M$6)=0,"",IF(COUNTIFS(Cronograma!$H$11:$H$45,$A13,Cronograma!$C$11:$C$45,M$6,Cronograma!$B$11:$B$45,"1.ª visita")&gt;0,"1.ª","2.ª"))</f>
        <v/>
      </c>
      <c r="N13" s="47" t="str">
        <f aca="false">IF(COUNTIFS(Cronograma!$H$11:$H$45,$A13,Cronograma!$C$11:$C$45,N$6)=0,"",IF(COUNTIFS(Cronograma!$H$11:$H$45,$A13,Cronograma!$C$11:$C$45,N$6,Cronograma!$B$11:$B$45,"1.ª visita")&gt;0,"1.ª","2.ª"))</f>
        <v/>
      </c>
      <c r="O13" s="47" t="str">
        <f aca="false">IF(COUNTIFS(Cronograma!$H$11:$H$45,$A13,Cronograma!$C$11:$C$45,O$6)=0,"",IF(COUNTIFS(Cronograma!$H$11:$H$45,$A13,Cronograma!$C$11:$C$45,O$6,Cronograma!$B$11:$B$45,"1.ª visita")&gt;0,"1.ª","2.ª"))</f>
        <v>2.ª</v>
      </c>
      <c r="P13" s="47" t="str">
        <f aca="false">IF(COUNTIFS(Cronograma!$H$11:$H$45,$A13,Cronograma!$C$11:$C$45,P$6)=0,"",IF(COUNTIFS(Cronograma!$H$11:$H$45,$A13,Cronograma!$C$11:$C$45,P$6,Cronograma!$B$11:$B$45,"1.ª visita")&gt;0,"1.ª","2.ª"))</f>
        <v/>
      </c>
      <c r="Q13" s="47" t="str">
        <f aca="false">IF(COUNTIFS(Cronograma!$H$11:$H$45,$A13,Cronograma!$C$11:$C$45,Q$6)=0,"",IF(COUNTIFS(Cronograma!$H$11:$H$45,$A13,Cronograma!$C$11:$C$45,Q$6,Cronograma!$B$11:$B$45,"1.ª visita")&gt;0,"1.ª","2.ª"))</f>
        <v/>
      </c>
      <c r="R13" s="47" t="str">
        <f aca="false">IF(COUNTIFS(Cronograma!$H$11:$H$45,$A13,Cronograma!$C$11:$C$45,R$6)=0,"",IF(COUNTIFS(Cronograma!$H$11:$H$45,$A13,Cronograma!$C$11:$C$45,R$6,Cronograma!$B$11:$B$45,"1.ª visita")&gt;0,"1.ª","2.ª"))</f>
        <v/>
      </c>
      <c r="S13" s="47" t="str">
        <f aca="false">IF(COUNTIFS(Cronograma!$H$11:$H$45,$A13,Cronograma!$C$11:$C$45,S$6)=0,"",IF(COUNTIFS(Cronograma!$H$11:$H$45,$A13,Cronograma!$C$11:$C$45,S$6,Cronograma!$B$11:$B$45,"1.ª visita")&gt;0,"1.ª","2.ª"))</f>
        <v/>
      </c>
      <c r="T13" s="47" t="str">
        <f aca="false">IF(COUNTIFS(Cronograma!$H$11:$H$45,$A13,Cronograma!$C$11:$C$45,T$6)=0,"",IF(COUNTIFS(Cronograma!$H$11:$H$45,$A13,Cronograma!$C$11:$C$45,T$6,Cronograma!$B$11:$B$45,"1.ª visita")&gt;0,"1.ª","2.ª"))</f>
        <v/>
      </c>
      <c r="U13" s="48" t="n">
        <f aca="false">COUNTIF(Cronograma!$H$11:$H$45,$A13)</f>
        <v>2</v>
      </c>
    </row>
    <row r="14" customFormat="false" ht="30" hidden="false" customHeight="true" outlineLevel="0" collapsed="false">
      <c r="A14" s="44" t="s">
        <v>61</v>
      </c>
      <c r="B14" s="45" t="s">
        <v>62</v>
      </c>
      <c r="C14" s="46" t="s">
        <v>63</v>
      </c>
      <c r="D14" s="47" t="str">
        <f aca="false">IF(COUNTIFS(Cronograma!$H$11:$H$45,$A14,Cronograma!$C$11:$C$45,D$6)=0,"",IF(COUNTIFS(Cronograma!$H$11:$H$45,$A14,Cronograma!$C$11:$C$45,D$6,Cronograma!$B$11:$B$45,"1.ª visita")&gt;0,"1.ª","2.ª"))</f>
        <v/>
      </c>
      <c r="E14" s="47" t="str">
        <f aca="false">IF(COUNTIFS(Cronograma!$H$11:$H$45,$A14,Cronograma!$C$11:$C$45,E$6)=0,"",IF(COUNTIFS(Cronograma!$H$11:$H$45,$A14,Cronograma!$C$11:$C$45,E$6,Cronograma!$B$11:$B$45,"1.ª visita")&gt;0,"1.ª","2.ª"))</f>
        <v/>
      </c>
      <c r="F14" s="47" t="str">
        <f aca="false">IF(COUNTIFS(Cronograma!$H$11:$H$45,$A14,Cronograma!$C$11:$C$45,F$6)=0,"",IF(COUNTIFS(Cronograma!$H$11:$H$45,$A14,Cronograma!$C$11:$C$45,F$6,Cronograma!$B$11:$B$45,"1.ª visita")&gt;0,"1.ª","2.ª"))</f>
        <v>1.ª</v>
      </c>
      <c r="G14" s="47" t="str">
        <f aca="false">IF(COUNTIFS(Cronograma!$H$11:$H$45,$A14,Cronograma!$C$11:$C$45,G$6)=0,"",IF(COUNTIFS(Cronograma!$H$11:$H$45,$A14,Cronograma!$C$11:$C$45,G$6,Cronograma!$B$11:$B$45,"1.ª visita")&gt;0,"1.ª","2.ª"))</f>
        <v/>
      </c>
      <c r="H14" s="47" t="str">
        <f aca="false">IF(COUNTIFS(Cronograma!$H$11:$H$45,$A14,Cronograma!$C$11:$C$45,H$6)=0,"",IF(COUNTIFS(Cronograma!$H$11:$H$45,$A14,Cronograma!$C$11:$C$45,H$6,Cronograma!$B$11:$B$45,"1.ª visita")&gt;0,"1.ª","2.ª"))</f>
        <v/>
      </c>
      <c r="I14" s="47" t="str">
        <f aca="false">IF(COUNTIFS(Cronograma!$H$11:$H$45,$A14,Cronograma!$C$11:$C$45,I$6)=0,"",IF(COUNTIFS(Cronograma!$H$11:$H$45,$A14,Cronograma!$C$11:$C$45,I$6,Cronograma!$B$11:$B$45,"1.ª visita")&gt;0,"1.ª","2.ª"))</f>
        <v/>
      </c>
      <c r="J14" s="47" t="str">
        <f aca="false">IF(COUNTIFS(Cronograma!$H$11:$H$45,$A14,Cronograma!$C$11:$C$45,J$6)=0,"",IF(COUNTIFS(Cronograma!$H$11:$H$45,$A14,Cronograma!$C$11:$C$45,J$6,Cronograma!$B$11:$B$45,"1.ª visita")&gt;0,"1.ª","2.ª"))</f>
        <v/>
      </c>
      <c r="K14" s="47" t="str">
        <f aca="false">IF(COUNTIFS(Cronograma!$H$11:$H$45,$A14,Cronograma!$C$11:$C$45,K$6)=0,"",IF(COUNTIFS(Cronograma!$H$11:$H$45,$A14,Cronograma!$C$11:$C$45,K$6,Cronograma!$B$11:$B$45,"1.ª visita")&gt;0,"1.ª","2.ª"))</f>
        <v/>
      </c>
      <c r="L14" s="47" t="str">
        <f aca="false">IF(COUNTIFS(Cronograma!$H$11:$H$45,$A14,Cronograma!$C$11:$C$45,L$6)=0,"",IF(COUNTIFS(Cronograma!$H$11:$H$45,$A14,Cronograma!$C$11:$C$45,L$6,Cronograma!$B$11:$B$45,"1.ª visita")&gt;0,"1.ª","2.ª"))</f>
        <v/>
      </c>
      <c r="M14" s="47" t="str">
        <f aca="false">IF(COUNTIFS(Cronograma!$H$11:$H$45,$A14,Cronograma!$C$11:$C$45,M$6)=0,"",IF(COUNTIFS(Cronograma!$H$11:$H$45,$A14,Cronograma!$C$11:$C$45,M$6,Cronograma!$B$11:$B$45,"1.ª visita")&gt;0,"1.ª","2.ª"))</f>
        <v/>
      </c>
      <c r="N14" s="47" t="str">
        <f aca="false">IF(COUNTIFS(Cronograma!$H$11:$H$45,$A14,Cronograma!$C$11:$C$45,N$6)=0,"",IF(COUNTIFS(Cronograma!$H$11:$H$45,$A14,Cronograma!$C$11:$C$45,N$6,Cronograma!$B$11:$B$45,"1.ª visita")&gt;0,"1.ª","2.ª"))</f>
        <v/>
      </c>
      <c r="O14" s="47" t="str">
        <f aca="false">IF(COUNTIFS(Cronograma!$H$11:$H$45,$A14,Cronograma!$C$11:$C$45,O$6)=0,"",IF(COUNTIFS(Cronograma!$H$11:$H$45,$A14,Cronograma!$C$11:$C$45,O$6,Cronograma!$B$11:$B$45,"1.ª visita")&gt;0,"1.ª","2.ª"))</f>
        <v>2.ª</v>
      </c>
      <c r="P14" s="47" t="str">
        <f aca="false">IF(COUNTIFS(Cronograma!$H$11:$H$45,$A14,Cronograma!$C$11:$C$45,P$6)=0,"",IF(COUNTIFS(Cronograma!$H$11:$H$45,$A14,Cronograma!$C$11:$C$45,P$6,Cronograma!$B$11:$B$45,"1.ª visita")&gt;0,"1.ª","2.ª"))</f>
        <v/>
      </c>
      <c r="Q14" s="47" t="str">
        <f aca="false">IF(COUNTIFS(Cronograma!$H$11:$H$45,$A14,Cronograma!$C$11:$C$45,Q$6)=0,"",IF(COUNTIFS(Cronograma!$H$11:$H$45,$A14,Cronograma!$C$11:$C$45,Q$6,Cronograma!$B$11:$B$45,"1.ª visita")&gt;0,"1.ª","2.ª"))</f>
        <v/>
      </c>
      <c r="R14" s="47" t="str">
        <f aca="false">IF(COUNTIFS(Cronograma!$H$11:$H$45,$A14,Cronograma!$C$11:$C$45,R$6)=0,"",IF(COUNTIFS(Cronograma!$H$11:$H$45,$A14,Cronograma!$C$11:$C$45,R$6,Cronograma!$B$11:$B$45,"1.ª visita")&gt;0,"1.ª","2.ª"))</f>
        <v/>
      </c>
      <c r="S14" s="47" t="str">
        <f aca="false">IF(COUNTIFS(Cronograma!$H$11:$H$45,$A14,Cronograma!$C$11:$C$45,S$6)=0,"",IF(COUNTIFS(Cronograma!$H$11:$H$45,$A14,Cronograma!$C$11:$C$45,S$6,Cronograma!$B$11:$B$45,"1.ª visita")&gt;0,"1.ª","2.ª"))</f>
        <v/>
      </c>
      <c r="T14" s="47" t="str">
        <f aca="false">IF(COUNTIFS(Cronograma!$H$11:$H$45,$A14,Cronograma!$C$11:$C$45,T$6)=0,"",IF(COUNTIFS(Cronograma!$H$11:$H$45,$A14,Cronograma!$C$11:$C$45,T$6,Cronograma!$B$11:$B$45,"1.ª visita")&gt;0,"1.ª","2.ª"))</f>
        <v/>
      </c>
      <c r="U14" s="48" t="n">
        <f aca="false">COUNTIF(Cronograma!$H$11:$H$45,$A14)</f>
        <v>2</v>
      </c>
    </row>
    <row r="15" customFormat="false" ht="30" hidden="false" customHeight="true" outlineLevel="0" collapsed="false">
      <c r="A15" s="44" t="s">
        <v>70</v>
      </c>
      <c r="B15" s="45" t="s">
        <v>71</v>
      </c>
      <c r="C15" s="46" t="s">
        <v>53</v>
      </c>
      <c r="D15" s="47" t="str">
        <f aca="false">IF(COUNTIFS(Cronograma!$H$11:$H$45,$A15,Cronograma!$C$11:$C$45,D$6)=0,"",IF(COUNTIFS(Cronograma!$H$11:$H$45,$A15,Cronograma!$C$11:$C$45,D$6,Cronograma!$B$11:$B$45,"1.ª visita")&gt;0,"1.ª","2.ª"))</f>
        <v/>
      </c>
      <c r="E15" s="47" t="str">
        <f aca="false">IF(COUNTIFS(Cronograma!$H$11:$H$45,$A15,Cronograma!$C$11:$C$45,E$6)=0,"",IF(COUNTIFS(Cronograma!$H$11:$H$45,$A15,Cronograma!$C$11:$C$45,E$6,Cronograma!$B$11:$B$45,"1.ª visita")&gt;0,"1.ª","2.ª"))</f>
        <v/>
      </c>
      <c r="F15" s="47" t="str">
        <f aca="false">IF(COUNTIFS(Cronograma!$H$11:$H$45,$A15,Cronograma!$C$11:$C$45,F$6)=0,"",IF(COUNTIFS(Cronograma!$H$11:$H$45,$A15,Cronograma!$C$11:$C$45,F$6,Cronograma!$B$11:$B$45,"1.ª visita")&gt;0,"1.ª","2.ª"))</f>
        <v/>
      </c>
      <c r="G15" s="47" t="str">
        <f aca="false">IF(COUNTIFS(Cronograma!$H$11:$H$45,$A15,Cronograma!$C$11:$C$45,G$6)=0,"",IF(COUNTIFS(Cronograma!$H$11:$H$45,$A15,Cronograma!$C$11:$C$45,G$6,Cronograma!$B$11:$B$45,"1.ª visita")&gt;0,"1.ª","2.ª"))</f>
        <v/>
      </c>
      <c r="H15" s="47" t="str">
        <f aca="false">IF(COUNTIFS(Cronograma!$H$11:$H$45,$A15,Cronograma!$C$11:$C$45,H$6)=0,"",IF(COUNTIFS(Cronograma!$H$11:$H$45,$A15,Cronograma!$C$11:$C$45,H$6,Cronograma!$B$11:$B$45,"1.ª visita")&gt;0,"1.ª","2.ª"))</f>
        <v/>
      </c>
      <c r="I15" s="47" t="str">
        <f aca="false">IF(COUNTIFS(Cronograma!$H$11:$H$45,$A15,Cronograma!$C$11:$C$45,I$6)=0,"",IF(COUNTIFS(Cronograma!$H$11:$H$45,$A15,Cronograma!$C$11:$C$45,I$6,Cronograma!$B$11:$B$45,"1.ª visita")&gt;0,"1.ª","2.ª"))</f>
        <v>1.ª</v>
      </c>
      <c r="J15" s="47" t="str">
        <f aca="false">IF(COUNTIFS(Cronograma!$H$11:$H$45,$A15,Cronograma!$C$11:$C$45,J$6)=0,"",IF(COUNTIFS(Cronograma!$H$11:$H$45,$A15,Cronograma!$C$11:$C$45,J$6,Cronograma!$B$11:$B$45,"1.ª visita")&gt;0,"1.ª","2.ª"))</f>
        <v/>
      </c>
      <c r="K15" s="47" t="str">
        <f aca="false">IF(COUNTIFS(Cronograma!$H$11:$H$45,$A15,Cronograma!$C$11:$C$45,K$6)=0,"",IF(COUNTIFS(Cronograma!$H$11:$H$45,$A15,Cronograma!$C$11:$C$45,K$6,Cronograma!$B$11:$B$45,"1.ª visita")&gt;0,"1.ª","2.ª"))</f>
        <v/>
      </c>
      <c r="L15" s="47" t="str">
        <f aca="false">IF(COUNTIFS(Cronograma!$H$11:$H$45,$A15,Cronograma!$C$11:$C$45,L$6)=0,"",IF(COUNTIFS(Cronograma!$H$11:$H$45,$A15,Cronograma!$C$11:$C$45,L$6,Cronograma!$B$11:$B$45,"1.ª visita")&gt;0,"1.ª","2.ª"))</f>
        <v/>
      </c>
      <c r="M15" s="47" t="str">
        <f aca="false">IF(COUNTIFS(Cronograma!$H$11:$H$45,$A15,Cronograma!$C$11:$C$45,M$6)=0,"",IF(COUNTIFS(Cronograma!$H$11:$H$45,$A15,Cronograma!$C$11:$C$45,M$6,Cronograma!$B$11:$B$45,"1.ª visita")&gt;0,"1.ª","2.ª"))</f>
        <v/>
      </c>
      <c r="N15" s="47" t="str">
        <f aca="false">IF(COUNTIFS(Cronograma!$H$11:$H$45,$A15,Cronograma!$C$11:$C$45,N$6)=0,"",IF(COUNTIFS(Cronograma!$H$11:$H$45,$A15,Cronograma!$C$11:$C$45,N$6,Cronograma!$B$11:$B$45,"1.ª visita")&gt;0,"1.ª","2.ª"))</f>
        <v/>
      </c>
      <c r="O15" s="47" t="str">
        <f aca="false">IF(COUNTIFS(Cronograma!$H$11:$H$45,$A15,Cronograma!$C$11:$C$45,O$6)=0,"",IF(COUNTIFS(Cronograma!$H$11:$H$45,$A15,Cronograma!$C$11:$C$45,O$6,Cronograma!$B$11:$B$45,"1.ª visita")&gt;0,"1.ª","2.ª"))</f>
        <v/>
      </c>
      <c r="P15" s="47" t="str">
        <f aca="false">IF(COUNTIFS(Cronograma!$H$11:$H$45,$A15,Cronograma!$C$11:$C$45,P$6)=0,"",IF(COUNTIFS(Cronograma!$H$11:$H$45,$A15,Cronograma!$C$11:$C$45,P$6,Cronograma!$B$11:$B$45,"1.ª visita")&gt;0,"1.ª","2.ª"))</f>
        <v>2.ª</v>
      </c>
      <c r="Q15" s="47" t="str">
        <f aca="false">IF(COUNTIFS(Cronograma!$H$11:$H$45,$A15,Cronograma!$C$11:$C$45,Q$6)=0,"",IF(COUNTIFS(Cronograma!$H$11:$H$45,$A15,Cronograma!$C$11:$C$45,Q$6,Cronograma!$B$11:$B$45,"1.ª visita")&gt;0,"1.ª","2.ª"))</f>
        <v/>
      </c>
      <c r="R15" s="47" t="str">
        <f aca="false">IF(COUNTIFS(Cronograma!$H$11:$H$45,$A15,Cronograma!$C$11:$C$45,R$6)=0,"",IF(COUNTIFS(Cronograma!$H$11:$H$45,$A15,Cronograma!$C$11:$C$45,R$6,Cronograma!$B$11:$B$45,"1.ª visita")&gt;0,"1.ª","2.ª"))</f>
        <v/>
      </c>
      <c r="S15" s="47" t="str">
        <f aca="false">IF(COUNTIFS(Cronograma!$H$11:$H$45,$A15,Cronograma!$C$11:$C$45,S$6)=0,"",IF(COUNTIFS(Cronograma!$H$11:$H$45,$A15,Cronograma!$C$11:$C$45,S$6,Cronograma!$B$11:$B$45,"1.ª visita")&gt;0,"1.ª","2.ª"))</f>
        <v/>
      </c>
      <c r="T15" s="47" t="str">
        <f aca="false">IF(COUNTIFS(Cronograma!$H$11:$H$45,$A15,Cronograma!$C$11:$C$45,T$6)=0,"",IF(COUNTIFS(Cronograma!$H$11:$H$45,$A15,Cronograma!$C$11:$C$45,T$6,Cronograma!$B$11:$B$45,"1.ª visita")&gt;0,"1.ª","2.ª"))</f>
        <v/>
      </c>
      <c r="U15" s="48" t="n">
        <f aca="false">COUNTIF(Cronograma!$H$11:$H$45,$A15)</f>
        <v>2</v>
      </c>
    </row>
    <row r="16" customFormat="false" ht="30" hidden="false" customHeight="true" outlineLevel="0" collapsed="false">
      <c r="A16" s="44" t="s">
        <v>73</v>
      </c>
      <c r="B16" s="45" t="s">
        <v>74</v>
      </c>
      <c r="C16" s="46" t="s">
        <v>75</v>
      </c>
      <c r="D16" s="47" t="str">
        <f aca="false">IF(COUNTIFS(Cronograma!$H$11:$H$45,$A16,Cronograma!$C$11:$C$45,D$6)=0,"",IF(COUNTIFS(Cronograma!$H$11:$H$45,$A16,Cronograma!$C$11:$C$45,D$6,Cronograma!$B$11:$B$45,"1.ª visita")&gt;0,"1.ª","2.ª"))</f>
        <v/>
      </c>
      <c r="E16" s="47" t="str">
        <f aca="false">IF(COUNTIFS(Cronograma!$H$11:$H$45,$A16,Cronograma!$C$11:$C$45,E$6)=0,"",IF(COUNTIFS(Cronograma!$H$11:$H$45,$A16,Cronograma!$C$11:$C$45,E$6,Cronograma!$B$11:$B$45,"1.ª visita")&gt;0,"1.ª","2.ª"))</f>
        <v/>
      </c>
      <c r="F16" s="47" t="str">
        <f aca="false">IF(COUNTIFS(Cronograma!$H$11:$H$45,$A16,Cronograma!$C$11:$C$45,F$6)=0,"",IF(COUNTIFS(Cronograma!$H$11:$H$45,$A16,Cronograma!$C$11:$C$45,F$6,Cronograma!$B$11:$B$45,"1.ª visita")&gt;0,"1.ª","2.ª"))</f>
        <v/>
      </c>
      <c r="G16" s="47" t="str">
        <f aca="false">IF(COUNTIFS(Cronograma!$H$11:$H$45,$A16,Cronograma!$C$11:$C$45,G$6)=0,"",IF(COUNTIFS(Cronograma!$H$11:$H$45,$A16,Cronograma!$C$11:$C$45,G$6,Cronograma!$B$11:$B$45,"1.ª visita")&gt;0,"1.ª","2.ª"))</f>
        <v/>
      </c>
      <c r="H16" s="47" t="str">
        <f aca="false">IF(COUNTIFS(Cronograma!$H$11:$H$45,$A16,Cronograma!$C$11:$C$45,H$6)=0,"",IF(COUNTIFS(Cronograma!$H$11:$H$45,$A16,Cronograma!$C$11:$C$45,H$6,Cronograma!$B$11:$B$45,"1.ª visita")&gt;0,"1.ª","2.ª"))</f>
        <v/>
      </c>
      <c r="I16" s="47" t="str">
        <f aca="false">IF(COUNTIFS(Cronograma!$H$11:$H$45,$A16,Cronograma!$C$11:$C$45,I$6)=0,"",IF(COUNTIFS(Cronograma!$H$11:$H$45,$A16,Cronograma!$C$11:$C$45,I$6,Cronograma!$B$11:$B$45,"1.ª visita")&gt;0,"1.ª","2.ª"))</f>
        <v>1.ª</v>
      </c>
      <c r="J16" s="47" t="str">
        <f aca="false">IF(COUNTIFS(Cronograma!$H$11:$H$45,$A16,Cronograma!$C$11:$C$45,J$6)=0,"",IF(COUNTIFS(Cronograma!$H$11:$H$45,$A16,Cronograma!$C$11:$C$45,J$6,Cronograma!$B$11:$B$45,"1.ª visita")&gt;0,"1.ª","2.ª"))</f>
        <v/>
      </c>
      <c r="K16" s="47" t="str">
        <f aca="false">IF(COUNTIFS(Cronograma!$H$11:$H$45,$A16,Cronograma!$C$11:$C$45,K$6)=0,"",IF(COUNTIFS(Cronograma!$H$11:$H$45,$A16,Cronograma!$C$11:$C$45,K$6,Cronograma!$B$11:$B$45,"1.ª visita")&gt;0,"1.ª","2.ª"))</f>
        <v/>
      </c>
      <c r="L16" s="47" t="str">
        <f aca="false">IF(COUNTIFS(Cronograma!$H$11:$H$45,$A16,Cronograma!$C$11:$C$45,L$6)=0,"",IF(COUNTIFS(Cronograma!$H$11:$H$45,$A16,Cronograma!$C$11:$C$45,L$6,Cronograma!$B$11:$B$45,"1.ª visita")&gt;0,"1.ª","2.ª"))</f>
        <v/>
      </c>
      <c r="M16" s="47" t="str">
        <f aca="false">IF(COUNTIFS(Cronograma!$H$11:$H$45,$A16,Cronograma!$C$11:$C$45,M$6)=0,"",IF(COUNTIFS(Cronograma!$H$11:$H$45,$A16,Cronograma!$C$11:$C$45,M$6,Cronograma!$B$11:$B$45,"1.ª visita")&gt;0,"1.ª","2.ª"))</f>
        <v/>
      </c>
      <c r="N16" s="47" t="str">
        <f aca="false">IF(COUNTIFS(Cronograma!$H$11:$H$45,$A16,Cronograma!$C$11:$C$45,N$6)=0,"",IF(COUNTIFS(Cronograma!$H$11:$H$45,$A16,Cronograma!$C$11:$C$45,N$6,Cronograma!$B$11:$B$45,"1.ª visita")&gt;0,"1.ª","2.ª"))</f>
        <v/>
      </c>
      <c r="O16" s="47" t="str">
        <f aca="false">IF(COUNTIFS(Cronograma!$H$11:$H$45,$A16,Cronograma!$C$11:$C$45,O$6)=0,"",IF(COUNTIFS(Cronograma!$H$11:$H$45,$A16,Cronograma!$C$11:$C$45,O$6,Cronograma!$B$11:$B$45,"1.ª visita")&gt;0,"1.ª","2.ª"))</f>
        <v/>
      </c>
      <c r="P16" s="47" t="str">
        <f aca="false">IF(COUNTIFS(Cronograma!$H$11:$H$45,$A16,Cronograma!$C$11:$C$45,P$6)=0,"",IF(COUNTIFS(Cronograma!$H$11:$H$45,$A16,Cronograma!$C$11:$C$45,P$6,Cronograma!$B$11:$B$45,"1.ª visita")&gt;0,"1.ª","2.ª"))</f>
        <v>2.ª</v>
      </c>
      <c r="Q16" s="47" t="str">
        <f aca="false">IF(COUNTIFS(Cronograma!$H$11:$H$45,$A16,Cronograma!$C$11:$C$45,Q$6)=0,"",IF(COUNTIFS(Cronograma!$H$11:$H$45,$A16,Cronograma!$C$11:$C$45,Q$6,Cronograma!$B$11:$B$45,"1.ª visita")&gt;0,"1.ª","2.ª"))</f>
        <v/>
      </c>
      <c r="R16" s="47" t="str">
        <f aca="false">IF(COUNTIFS(Cronograma!$H$11:$H$45,$A16,Cronograma!$C$11:$C$45,R$6)=0,"",IF(COUNTIFS(Cronograma!$H$11:$H$45,$A16,Cronograma!$C$11:$C$45,R$6,Cronograma!$B$11:$B$45,"1.ª visita")&gt;0,"1.ª","2.ª"))</f>
        <v/>
      </c>
      <c r="S16" s="47" t="str">
        <f aca="false">IF(COUNTIFS(Cronograma!$H$11:$H$45,$A16,Cronograma!$C$11:$C$45,S$6)=0,"",IF(COUNTIFS(Cronograma!$H$11:$H$45,$A16,Cronograma!$C$11:$C$45,S$6,Cronograma!$B$11:$B$45,"1.ª visita")&gt;0,"1.ª","2.ª"))</f>
        <v/>
      </c>
      <c r="T16" s="47" t="str">
        <f aca="false">IF(COUNTIFS(Cronograma!$H$11:$H$45,$A16,Cronograma!$C$11:$C$45,T$6)=0,"",IF(COUNTIFS(Cronograma!$H$11:$H$45,$A16,Cronograma!$C$11:$C$45,T$6,Cronograma!$B$11:$B$45,"1.ª visita")&gt;0,"1.ª","2.ª"))</f>
        <v/>
      </c>
      <c r="U16" s="48" t="n">
        <f aca="false">COUNTIF(Cronograma!$H$11:$H$45,$A16)</f>
        <v>2</v>
      </c>
    </row>
    <row r="17" customFormat="false" ht="30" hidden="false" customHeight="true" outlineLevel="0" collapsed="false">
      <c r="A17" s="44" t="s">
        <v>78</v>
      </c>
      <c r="B17" s="45" t="s">
        <v>79</v>
      </c>
      <c r="C17" s="46" t="s">
        <v>80</v>
      </c>
      <c r="D17" s="47" t="str">
        <f aca="false">IF(COUNTIFS(Cronograma!$H$11:$H$45,$A17,Cronograma!$C$11:$C$45,D$6)=0,"",IF(COUNTIFS(Cronograma!$H$11:$H$45,$A17,Cronograma!$C$11:$C$45,D$6,Cronograma!$B$11:$B$45,"1.ª visita")&gt;0,"1.ª","2.ª"))</f>
        <v/>
      </c>
      <c r="E17" s="47" t="str">
        <f aca="false">IF(COUNTIFS(Cronograma!$H$11:$H$45,$A17,Cronograma!$C$11:$C$45,E$6)=0,"",IF(COUNTIFS(Cronograma!$H$11:$H$45,$A17,Cronograma!$C$11:$C$45,E$6,Cronograma!$B$11:$B$45,"1.ª visita")&gt;0,"1.ª","2.ª"))</f>
        <v/>
      </c>
      <c r="F17" s="47" t="str">
        <f aca="false">IF(COUNTIFS(Cronograma!$H$11:$H$45,$A17,Cronograma!$C$11:$C$45,F$6)=0,"",IF(COUNTIFS(Cronograma!$H$11:$H$45,$A17,Cronograma!$C$11:$C$45,F$6,Cronograma!$B$11:$B$45,"1.ª visita")&gt;0,"1.ª","2.ª"))</f>
        <v/>
      </c>
      <c r="G17" s="47" t="str">
        <f aca="false">IF(COUNTIFS(Cronograma!$H$11:$H$45,$A17,Cronograma!$C$11:$C$45,G$6)=0,"",IF(COUNTIFS(Cronograma!$H$11:$H$45,$A17,Cronograma!$C$11:$C$45,G$6,Cronograma!$B$11:$B$45,"1.ª visita")&gt;0,"1.ª","2.ª"))</f>
        <v/>
      </c>
      <c r="H17" s="47" t="str">
        <f aca="false">IF(COUNTIFS(Cronograma!$H$11:$H$45,$A17,Cronograma!$C$11:$C$45,H$6)=0,"",IF(COUNTIFS(Cronograma!$H$11:$H$45,$A17,Cronograma!$C$11:$C$45,H$6,Cronograma!$B$11:$B$45,"1.ª visita")&gt;0,"1.ª","2.ª"))</f>
        <v/>
      </c>
      <c r="I17" s="47" t="str">
        <f aca="false">IF(COUNTIFS(Cronograma!$H$11:$H$45,$A17,Cronograma!$C$11:$C$45,I$6)=0,"",IF(COUNTIFS(Cronograma!$H$11:$H$45,$A17,Cronograma!$C$11:$C$45,I$6,Cronograma!$B$11:$B$45,"1.ª visita")&gt;0,"1.ª","2.ª"))</f>
        <v>1.ª</v>
      </c>
      <c r="J17" s="47" t="str">
        <f aca="false">IF(COUNTIFS(Cronograma!$H$11:$H$45,$A17,Cronograma!$C$11:$C$45,J$6)=0,"",IF(COUNTIFS(Cronograma!$H$11:$H$45,$A17,Cronograma!$C$11:$C$45,J$6,Cronograma!$B$11:$B$45,"1.ª visita")&gt;0,"1.ª","2.ª"))</f>
        <v/>
      </c>
      <c r="K17" s="47" t="str">
        <f aca="false">IF(COUNTIFS(Cronograma!$H$11:$H$45,$A17,Cronograma!$C$11:$C$45,K$6)=0,"",IF(COUNTIFS(Cronograma!$H$11:$H$45,$A17,Cronograma!$C$11:$C$45,K$6,Cronograma!$B$11:$B$45,"1.ª visita")&gt;0,"1.ª","2.ª"))</f>
        <v/>
      </c>
      <c r="L17" s="47" t="str">
        <f aca="false">IF(COUNTIFS(Cronograma!$H$11:$H$45,$A17,Cronograma!$C$11:$C$45,L$6)=0,"",IF(COUNTIFS(Cronograma!$H$11:$H$45,$A17,Cronograma!$C$11:$C$45,L$6,Cronograma!$B$11:$B$45,"1.ª visita")&gt;0,"1.ª","2.ª"))</f>
        <v/>
      </c>
      <c r="M17" s="47" t="str">
        <f aca="false">IF(COUNTIFS(Cronograma!$H$11:$H$45,$A17,Cronograma!$C$11:$C$45,M$6)=0,"",IF(COUNTIFS(Cronograma!$H$11:$H$45,$A17,Cronograma!$C$11:$C$45,M$6,Cronograma!$B$11:$B$45,"1.ª visita")&gt;0,"1.ª","2.ª"))</f>
        <v/>
      </c>
      <c r="N17" s="47" t="str">
        <f aca="false">IF(COUNTIFS(Cronograma!$H$11:$H$45,$A17,Cronograma!$C$11:$C$45,N$6)=0,"",IF(COUNTIFS(Cronograma!$H$11:$H$45,$A17,Cronograma!$C$11:$C$45,N$6,Cronograma!$B$11:$B$45,"1.ª visita")&gt;0,"1.ª","2.ª"))</f>
        <v/>
      </c>
      <c r="O17" s="47" t="str">
        <f aca="false">IF(COUNTIFS(Cronograma!$H$11:$H$45,$A17,Cronograma!$C$11:$C$45,O$6)=0,"",IF(COUNTIFS(Cronograma!$H$11:$H$45,$A17,Cronograma!$C$11:$C$45,O$6,Cronograma!$B$11:$B$45,"1.ª visita")&gt;0,"1.ª","2.ª"))</f>
        <v/>
      </c>
      <c r="P17" s="47" t="str">
        <f aca="false">IF(COUNTIFS(Cronograma!$H$11:$H$45,$A17,Cronograma!$C$11:$C$45,P$6)=0,"",IF(COUNTIFS(Cronograma!$H$11:$H$45,$A17,Cronograma!$C$11:$C$45,P$6,Cronograma!$B$11:$B$45,"1.ª visita")&gt;0,"1.ª","2.ª"))</f>
        <v>2.ª</v>
      </c>
      <c r="Q17" s="47" t="str">
        <f aca="false">IF(COUNTIFS(Cronograma!$H$11:$H$45,$A17,Cronograma!$C$11:$C$45,Q$6)=0,"",IF(COUNTIFS(Cronograma!$H$11:$H$45,$A17,Cronograma!$C$11:$C$45,Q$6,Cronograma!$B$11:$B$45,"1.ª visita")&gt;0,"1.ª","2.ª"))</f>
        <v/>
      </c>
      <c r="R17" s="47" t="str">
        <f aca="false">IF(COUNTIFS(Cronograma!$H$11:$H$45,$A17,Cronograma!$C$11:$C$45,R$6)=0,"",IF(COUNTIFS(Cronograma!$H$11:$H$45,$A17,Cronograma!$C$11:$C$45,R$6,Cronograma!$B$11:$B$45,"1.ª visita")&gt;0,"1.ª","2.ª"))</f>
        <v/>
      </c>
      <c r="S17" s="47" t="str">
        <f aca="false">IF(COUNTIFS(Cronograma!$H$11:$H$45,$A17,Cronograma!$C$11:$C$45,S$6)=0,"",IF(COUNTIFS(Cronograma!$H$11:$H$45,$A17,Cronograma!$C$11:$C$45,S$6,Cronograma!$B$11:$B$45,"1.ª visita")&gt;0,"1.ª","2.ª"))</f>
        <v/>
      </c>
      <c r="T17" s="47" t="str">
        <f aca="false">IF(COUNTIFS(Cronograma!$H$11:$H$45,$A17,Cronograma!$C$11:$C$45,T$6)=0,"",IF(COUNTIFS(Cronograma!$H$11:$H$45,$A17,Cronograma!$C$11:$C$45,T$6,Cronograma!$B$11:$B$45,"1.ª visita")&gt;0,"1.ª","2.ª"))</f>
        <v/>
      </c>
      <c r="U17" s="48" t="n">
        <f aca="false">COUNTIF(Cronograma!$H$11:$H$45,$A17)</f>
        <v>2</v>
      </c>
    </row>
    <row r="18" customFormat="false" ht="30" hidden="false" customHeight="true" outlineLevel="0" collapsed="false">
      <c r="A18" s="44" t="s">
        <v>83</v>
      </c>
      <c r="B18" s="45" t="s">
        <v>84</v>
      </c>
      <c r="C18" s="46" t="s">
        <v>85</v>
      </c>
      <c r="D18" s="47" t="str">
        <f aca="false">IF(COUNTIFS(Cronograma!$H$11:$H$45,$A18,Cronograma!$C$11:$C$45,D$6)=0,"",IF(COUNTIFS(Cronograma!$H$11:$H$45,$A18,Cronograma!$C$11:$C$45,D$6,Cronograma!$B$11:$B$45,"1.ª visita")&gt;0,"1.ª","2.ª"))</f>
        <v/>
      </c>
      <c r="E18" s="47" t="str">
        <f aca="false">IF(COUNTIFS(Cronograma!$H$11:$H$45,$A18,Cronograma!$C$11:$C$45,E$6)=0,"",IF(COUNTIFS(Cronograma!$H$11:$H$45,$A18,Cronograma!$C$11:$C$45,E$6,Cronograma!$B$11:$B$45,"1.ª visita")&gt;0,"1.ª","2.ª"))</f>
        <v/>
      </c>
      <c r="F18" s="47" t="str">
        <f aca="false">IF(COUNTIFS(Cronograma!$H$11:$H$45,$A18,Cronograma!$C$11:$C$45,F$6)=0,"",IF(COUNTIFS(Cronograma!$H$11:$H$45,$A18,Cronograma!$C$11:$C$45,F$6,Cronograma!$B$11:$B$45,"1.ª visita")&gt;0,"1.ª","2.ª"))</f>
        <v/>
      </c>
      <c r="G18" s="47" t="str">
        <f aca="false">IF(COUNTIFS(Cronograma!$H$11:$H$45,$A18,Cronograma!$C$11:$C$45,G$6)=0,"",IF(COUNTIFS(Cronograma!$H$11:$H$45,$A18,Cronograma!$C$11:$C$45,G$6,Cronograma!$B$11:$B$45,"1.ª visita")&gt;0,"1.ª","2.ª"))</f>
        <v/>
      </c>
      <c r="H18" s="47" t="str">
        <f aca="false">IF(COUNTIFS(Cronograma!$H$11:$H$45,$A18,Cronograma!$C$11:$C$45,H$6)=0,"",IF(COUNTIFS(Cronograma!$H$11:$H$45,$A18,Cronograma!$C$11:$C$45,H$6,Cronograma!$B$11:$B$45,"1.ª visita")&gt;0,"1.ª","2.ª"))</f>
        <v/>
      </c>
      <c r="I18" s="47" t="str">
        <f aca="false">IF(COUNTIFS(Cronograma!$H$11:$H$45,$A18,Cronograma!$C$11:$C$45,I$6)=0,"",IF(COUNTIFS(Cronograma!$H$11:$H$45,$A18,Cronograma!$C$11:$C$45,I$6,Cronograma!$B$11:$B$45,"1.ª visita")&gt;0,"1.ª","2.ª"))</f>
        <v/>
      </c>
      <c r="J18" s="47" t="str">
        <f aca="false">IF(COUNTIFS(Cronograma!$H$11:$H$45,$A18,Cronograma!$C$11:$C$45,J$6)=0,"",IF(COUNTIFS(Cronograma!$H$11:$H$45,$A18,Cronograma!$C$11:$C$45,J$6,Cronograma!$B$11:$B$45,"1.ª visita")&gt;0,"1.ª","2.ª"))</f>
        <v>1.ª</v>
      </c>
      <c r="K18" s="47" t="str">
        <f aca="false">IF(COUNTIFS(Cronograma!$H$11:$H$45,$A18,Cronograma!$C$11:$C$45,K$6)=0,"",IF(COUNTIFS(Cronograma!$H$11:$H$45,$A18,Cronograma!$C$11:$C$45,K$6,Cronograma!$B$11:$B$45,"1.ª visita")&gt;0,"1.ª","2.ª"))</f>
        <v/>
      </c>
      <c r="L18" s="47" t="str">
        <f aca="false">IF(COUNTIFS(Cronograma!$H$11:$H$45,$A18,Cronograma!$C$11:$C$45,L$6)=0,"",IF(COUNTIFS(Cronograma!$H$11:$H$45,$A18,Cronograma!$C$11:$C$45,L$6,Cronograma!$B$11:$B$45,"1.ª visita")&gt;0,"1.ª","2.ª"))</f>
        <v/>
      </c>
      <c r="M18" s="47" t="str">
        <f aca="false">IF(COUNTIFS(Cronograma!$H$11:$H$45,$A18,Cronograma!$C$11:$C$45,M$6)=0,"",IF(COUNTIFS(Cronograma!$H$11:$H$45,$A18,Cronograma!$C$11:$C$45,M$6,Cronograma!$B$11:$B$45,"1.ª visita")&gt;0,"1.ª","2.ª"))</f>
        <v/>
      </c>
      <c r="N18" s="47" t="str">
        <f aca="false">IF(COUNTIFS(Cronograma!$H$11:$H$45,$A18,Cronograma!$C$11:$C$45,N$6)=0,"",IF(COUNTIFS(Cronograma!$H$11:$H$45,$A18,Cronograma!$C$11:$C$45,N$6,Cronograma!$B$11:$B$45,"1.ª visita")&gt;0,"1.ª","2.ª"))</f>
        <v/>
      </c>
      <c r="O18" s="47" t="str">
        <f aca="false">IF(COUNTIFS(Cronograma!$H$11:$H$45,$A18,Cronograma!$C$11:$C$45,O$6)=0,"",IF(COUNTIFS(Cronograma!$H$11:$H$45,$A18,Cronograma!$C$11:$C$45,O$6,Cronograma!$B$11:$B$45,"1.ª visita")&gt;0,"1.ª","2.ª"))</f>
        <v/>
      </c>
      <c r="P18" s="47" t="str">
        <f aca="false">IF(COUNTIFS(Cronograma!$H$11:$H$45,$A18,Cronograma!$C$11:$C$45,P$6)=0,"",IF(COUNTIFS(Cronograma!$H$11:$H$45,$A18,Cronograma!$C$11:$C$45,P$6,Cronograma!$B$11:$B$45,"1.ª visita")&gt;0,"1.ª","2.ª"))</f>
        <v/>
      </c>
      <c r="Q18" s="47" t="str">
        <f aca="false">IF(COUNTIFS(Cronograma!$H$11:$H$45,$A18,Cronograma!$C$11:$C$45,Q$6)=0,"",IF(COUNTIFS(Cronograma!$H$11:$H$45,$A18,Cronograma!$C$11:$C$45,Q$6,Cronograma!$B$11:$B$45,"1.ª visita")&gt;0,"1.ª","2.ª"))</f>
        <v/>
      </c>
      <c r="R18" s="47" t="str">
        <f aca="false">IF(COUNTIFS(Cronograma!$H$11:$H$45,$A18,Cronograma!$C$11:$C$45,R$6)=0,"",IF(COUNTIFS(Cronograma!$H$11:$H$45,$A18,Cronograma!$C$11:$C$45,R$6,Cronograma!$B$11:$B$45,"1.ª visita")&gt;0,"1.ª","2.ª"))</f>
        <v>2.ª</v>
      </c>
      <c r="S18" s="47" t="str">
        <f aca="false">IF(COUNTIFS(Cronograma!$H$11:$H$45,$A18,Cronograma!$C$11:$C$45,S$6)=0,"",IF(COUNTIFS(Cronograma!$H$11:$H$45,$A18,Cronograma!$C$11:$C$45,S$6,Cronograma!$B$11:$B$45,"1.ª visita")&gt;0,"1.ª","2.ª"))</f>
        <v/>
      </c>
      <c r="T18" s="47" t="str">
        <f aca="false">IF(COUNTIFS(Cronograma!$H$11:$H$45,$A18,Cronograma!$C$11:$C$45,T$6)=0,"",IF(COUNTIFS(Cronograma!$H$11:$H$45,$A18,Cronograma!$C$11:$C$45,T$6,Cronograma!$B$11:$B$45,"1.ª visita")&gt;0,"1.ª","2.ª"))</f>
        <v/>
      </c>
      <c r="U18" s="48" t="n">
        <f aca="false">COUNTIF(Cronograma!$H$11:$H$45,$A18)</f>
        <v>2</v>
      </c>
    </row>
    <row r="19" customFormat="false" ht="30" hidden="false" customHeight="true" outlineLevel="0" collapsed="false">
      <c r="A19" s="44" t="s">
        <v>89</v>
      </c>
      <c r="B19" s="45" t="s">
        <v>90</v>
      </c>
      <c r="C19" s="46" t="s">
        <v>91</v>
      </c>
      <c r="D19" s="47" t="str">
        <f aca="false">IF(COUNTIFS(Cronograma!$H$11:$H$45,$A19,Cronograma!$C$11:$C$45,D$6)=0,"",IF(COUNTIFS(Cronograma!$H$11:$H$45,$A19,Cronograma!$C$11:$C$45,D$6,Cronograma!$B$11:$B$45,"1.ª visita")&gt;0,"1.ª","2.ª"))</f>
        <v/>
      </c>
      <c r="E19" s="47" t="str">
        <f aca="false">IF(COUNTIFS(Cronograma!$H$11:$H$45,$A19,Cronograma!$C$11:$C$45,E$6)=0,"",IF(COUNTIFS(Cronograma!$H$11:$H$45,$A19,Cronograma!$C$11:$C$45,E$6,Cronograma!$B$11:$B$45,"1.ª visita")&gt;0,"1.ª","2.ª"))</f>
        <v/>
      </c>
      <c r="F19" s="47" t="str">
        <f aca="false">IF(COUNTIFS(Cronograma!$H$11:$H$45,$A19,Cronograma!$C$11:$C$45,F$6)=0,"",IF(COUNTIFS(Cronograma!$H$11:$H$45,$A19,Cronograma!$C$11:$C$45,F$6,Cronograma!$B$11:$B$45,"1.ª visita")&gt;0,"1.ª","2.ª"))</f>
        <v/>
      </c>
      <c r="G19" s="47" t="str">
        <f aca="false">IF(COUNTIFS(Cronograma!$H$11:$H$45,$A19,Cronograma!$C$11:$C$45,G$6)=0,"",IF(COUNTIFS(Cronograma!$H$11:$H$45,$A19,Cronograma!$C$11:$C$45,G$6,Cronograma!$B$11:$B$45,"1.ª visita")&gt;0,"1.ª","2.ª"))</f>
        <v/>
      </c>
      <c r="H19" s="47" t="str">
        <f aca="false">IF(COUNTIFS(Cronograma!$H$11:$H$45,$A19,Cronograma!$C$11:$C$45,H$6)=0,"",IF(COUNTIFS(Cronograma!$H$11:$H$45,$A19,Cronograma!$C$11:$C$45,H$6,Cronograma!$B$11:$B$45,"1.ª visita")&gt;0,"1.ª","2.ª"))</f>
        <v/>
      </c>
      <c r="I19" s="47" t="str">
        <f aca="false">IF(COUNTIFS(Cronograma!$H$11:$H$45,$A19,Cronograma!$C$11:$C$45,I$6)=0,"",IF(COUNTIFS(Cronograma!$H$11:$H$45,$A19,Cronograma!$C$11:$C$45,I$6,Cronograma!$B$11:$B$45,"1.ª visita")&gt;0,"1.ª","2.ª"))</f>
        <v/>
      </c>
      <c r="J19" s="47" t="str">
        <f aca="false">IF(COUNTIFS(Cronograma!$H$11:$H$45,$A19,Cronograma!$C$11:$C$45,J$6)=0,"",IF(COUNTIFS(Cronograma!$H$11:$H$45,$A19,Cronograma!$C$11:$C$45,J$6,Cronograma!$B$11:$B$45,"1.ª visita")&gt;0,"1.ª","2.ª"))</f>
        <v>1.ª</v>
      </c>
      <c r="K19" s="47" t="str">
        <f aca="false">IF(COUNTIFS(Cronograma!$H$11:$H$45,$A19,Cronograma!$C$11:$C$45,K$6)=0,"",IF(COUNTIFS(Cronograma!$H$11:$H$45,$A19,Cronograma!$C$11:$C$45,K$6,Cronograma!$B$11:$B$45,"1.ª visita")&gt;0,"1.ª","2.ª"))</f>
        <v/>
      </c>
      <c r="L19" s="47" t="str">
        <f aca="false">IF(COUNTIFS(Cronograma!$H$11:$H$45,$A19,Cronograma!$C$11:$C$45,L$6)=0,"",IF(COUNTIFS(Cronograma!$H$11:$H$45,$A19,Cronograma!$C$11:$C$45,L$6,Cronograma!$B$11:$B$45,"1.ª visita")&gt;0,"1.ª","2.ª"))</f>
        <v/>
      </c>
      <c r="M19" s="47" t="str">
        <f aca="false">IF(COUNTIFS(Cronograma!$H$11:$H$45,$A19,Cronograma!$C$11:$C$45,M$6)=0,"",IF(COUNTIFS(Cronograma!$H$11:$H$45,$A19,Cronograma!$C$11:$C$45,M$6,Cronograma!$B$11:$B$45,"1.ª visita")&gt;0,"1.ª","2.ª"))</f>
        <v/>
      </c>
      <c r="N19" s="47" t="str">
        <f aca="false">IF(COUNTIFS(Cronograma!$H$11:$H$45,$A19,Cronograma!$C$11:$C$45,N$6)=0,"",IF(COUNTIFS(Cronograma!$H$11:$H$45,$A19,Cronograma!$C$11:$C$45,N$6,Cronograma!$B$11:$B$45,"1.ª visita")&gt;0,"1.ª","2.ª"))</f>
        <v/>
      </c>
      <c r="O19" s="47" t="str">
        <f aca="false">IF(COUNTIFS(Cronograma!$H$11:$H$45,$A19,Cronograma!$C$11:$C$45,O$6)=0,"",IF(COUNTIFS(Cronograma!$H$11:$H$45,$A19,Cronograma!$C$11:$C$45,O$6,Cronograma!$B$11:$B$45,"1.ª visita")&gt;0,"1.ª","2.ª"))</f>
        <v/>
      </c>
      <c r="P19" s="47" t="str">
        <f aca="false">IF(COUNTIFS(Cronograma!$H$11:$H$45,$A19,Cronograma!$C$11:$C$45,P$6)=0,"",IF(COUNTIFS(Cronograma!$H$11:$H$45,$A19,Cronograma!$C$11:$C$45,P$6,Cronograma!$B$11:$B$45,"1.ª visita")&gt;0,"1.ª","2.ª"))</f>
        <v/>
      </c>
      <c r="Q19" s="47" t="str">
        <f aca="false">IF(COUNTIFS(Cronograma!$H$11:$H$45,$A19,Cronograma!$C$11:$C$45,Q$6)=0,"",IF(COUNTIFS(Cronograma!$H$11:$H$45,$A19,Cronograma!$C$11:$C$45,Q$6,Cronograma!$B$11:$B$45,"1.ª visita")&gt;0,"1.ª","2.ª"))</f>
        <v/>
      </c>
      <c r="R19" s="47" t="str">
        <f aca="false">IF(COUNTIFS(Cronograma!$H$11:$H$45,$A19,Cronograma!$C$11:$C$45,R$6)=0,"",IF(COUNTIFS(Cronograma!$H$11:$H$45,$A19,Cronograma!$C$11:$C$45,R$6,Cronograma!$B$11:$B$45,"1.ª visita")&gt;0,"1.ª","2.ª"))</f>
        <v>2.ª</v>
      </c>
      <c r="S19" s="47" t="str">
        <f aca="false">IF(COUNTIFS(Cronograma!$H$11:$H$45,$A19,Cronograma!$C$11:$C$45,S$6)=0,"",IF(COUNTIFS(Cronograma!$H$11:$H$45,$A19,Cronograma!$C$11:$C$45,S$6,Cronograma!$B$11:$B$45,"1.ª visita")&gt;0,"1.ª","2.ª"))</f>
        <v/>
      </c>
      <c r="T19" s="47" t="str">
        <f aca="false">IF(COUNTIFS(Cronograma!$H$11:$H$45,$A19,Cronograma!$C$11:$C$45,T$6)=0,"",IF(COUNTIFS(Cronograma!$H$11:$H$45,$A19,Cronograma!$C$11:$C$45,T$6,Cronograma!$B$11:$B$45,"1.ª visita")&gt;0,"1.ª","2.ª"))</f>
        <v/>
      </c>
      <c r="U19" s="48" t="n">
        <f aca="false">COUNTIF(Cronograma!$H$11:$H$45,$A19)</f>
        <v>2</v>
      </c>
    </row>
    <row r="20" customFormat="false" ht="30" hidden="false" customHeight="true" outlineLevel="0" collapsed="false">
      <c r="A20" s="44" t="s">
        <v>94</v>
      </c>
      <c r="B20" s="45" t="s">
        <v>95</v>
      </c>
      <c r="C20" s="46" t="s">
        <v>96</v>
      </c>
      <c r="D20" s="47" t="str">
        <f aca="false">IF(COUNTIFS(Cronograma!$H$11:$H$45,$A20,Cronograma!$C$11:$C$45,D$6)=0,"",IF(COUNTIFS(Cronograma!$H$11:$H$45,$A20,Cronograma!$C$11:$C$45,D$6,Cronograma!$B$11:$B$45,"1.ª visita")&gt;0,"1.ª","2.ª"))</f>
        <v/>
      </c>
      <c r="E20" s="47" t="str">
        <f aca="false">IF(COUNTIFS(Cronograma!$H$11:$H$45,$A20,Cronograma!$C$11:$C$45,E$6)=0,"",IF(COUNTIFS(Cronograma!$H$11:$H$45,$A20,Cronograma!$C$11:$C$45,E$6,Cronograma!$B$11:$B$45,"1.ª visita")&gt;0,"1.ª","2.ª"))</f>
        <v/>
      </c>
      <c r="F20" s="47" t="str">
        <f aca="false">IF(COUNTIFS(Cronograma!$H$11:$H$45,$A20,Cronograma!$C$11:$C$45,F$6)=0,"",IF(COUNTIFS(Cronograma!$H$11:$H$45,$A20,Cronograma!$C$11:$C$45,F$6,Cronograma!$B$11:$B$45,"1.ª visita")&gt;0,"1.ª","2.ª"))</f>
        <v/>
      </c>
      <c r="G20" s="47" t="str">
        <f aca="false">IF(COUNTIFS(Cronograma!$H$11:$H$45,$A20,Cronograma!$C$11:$C$45,G$6)=0,"",IF(COUNTIFS(Cronograma!$H$11:$H$45,$A20,Cronograma!$C$11:$C$45,G$6,Cronograma!$B$11:$B$45,"1.ª visita")&gt;0,"1.ª","2.ª"))</f>
        <v/>
      </c>
      <c r="H20" s="47" t="str">
        <f aca="false">IF(COUNTIFS(Cronograma!$H$11:$H$45,$A20,Cronograma!$C$11:$C$45,H$6)=0,"",IF(COUNTIFS(Cronograma!$H$11:$H$45,$A20,Cronograma!$C$11:$C$45,H$6,Cronograma!$B$11:$B$45,"1.ª visita")&gt;0,"1.ª","2.ª"))</f>
        <v/>
      </c>
      <c r="I20" s="47" t="str">
        <f aca="false">IF(COUNTIFS(Cronograma!$H$11:$H$45,$A20,Cronograma!$C$11:$C$45,I$6)=0,"",IF(COUNTIFS(Cronograma!$H$11:$H$45,$A20,Cronograma!$C$11:$C$45,I$6,Cronograma!$B$11:$B$45,"1.ª visita")&gt;0,"1.ª","2.ª"))</f>
        <v/>
      </c>
      <c r="J20" s="47" t="str">
        <f aca="false">IF(COUNTIFS(Cronograma!$H$11:$H$45,$A20,Cronograma!$C$11:$C$45,J$6)=0,"",IF(COUNTIFS(Cronograma!$H$11:$H$45,$A20,Cronograma!$C$11:$C$45,J$6,Cronograma!$B$11:$B$45,"1.ª visita")&gt;0,"1.ª","2.ª"))</f>
        <v>1.ª</v>
      </c>
      <c r="K20" s="47" t="str">
        <f aca="false">IF(COUNTIFS(Cronograma!$H$11:$H$45,$A20,Cronograma!$C$11:$C$45,K$6)=0,"",IF(COUNTIFS(Cronograma!$H$11:$H$45,$A20,Cronograma!$C$11:$C$45,K$6,Cronograma!$B$11:$B$45,"1.ª visita")&gt;0,"1.ª","2.ª"))</f>
        <v/>
      </c>
      <c r="L20" s="47" t="str">
        <f aca="false">IF(COUNTIFS(Cronograma!$H$11:$H$45,$A20,Cronograma!$C$11:$C$45,L$6)=0,"",IF(COUNTIFS(Cronograma!$H$11:$H$45,$A20,Cronograma!$C$11:$C$45,L$6,Cronograma!$B$11:$B$45,"1.ª visita")&gt;0,"1.ª","2.ª"))</f>
        <v/>
      </c>
      <c r="M20" s="47" t="str">
        <f aca="false">IF(COUNTIFS(Cronograma!$H$11:$H$45,$A20,Cronograma!$C$11:$C$45,M$6)=0,"",IF(COUNTIFS(Cronograma!$H$11:$H$45,$A20,Cronograma!$C$11:$C$45,M$6,Cronograma!$B$11:$B$45,"1.ª visita")&gt;0,"1.ª","2.ª"))</f>
        <v/>
      </c>
      <c r="N20" s="47" t="str">
        <f aca="false">IF(COUNTIFS(Cronograma!$H$11:$H$45,$A20,Cronograma!$C$11:$C$45,N$6)=0,"",IF(COUNTIFS(Cronograma!$H$11:$H$45,$A20,Cronograma!$C$11:$C$45,N$6,Cronograma!$B$11:$B$45,"1.ª visita")&gt;0,"1.ª","2.ª"))</f>
        <v/>
      </c>
      <c r="O20" s="47" t="str">
        <f aca="false">IF(COUNTIFS(Cronograma!$H$11:$H$45,$A20,Cronograma!$C$11:$C$45,O$6)=0,"",IF(COUNTIFS(Cronograma!$H$11:$H$45,$A20,Cronograma!$C$11:$C$45,O$6,Cronograma!$B$11:$B$45,"1.ª visita")&gt;0,"1.ª","2.ª"))</f>
        <v/>
      </c>
      <c r="P20" s="47" t="str">
        <f aca="false">IF(COUNTIFS(Cronograma!$H$11:$H$45,$A20,Cronograma!$C$11:$C$45,P$6)=0,"",IF(COUNTIFS(Cronograma!$H$11:$H$45,$A20,Cronograma!$C$11:$C$45,P$6,Cronograma!$B$11:$B$45,"1.ª visita")&gt;0,"1.ª","2.ª"))</f>
        <v/>
      </c>
      <c r="Q20" s="47" t="str">
        <f aca="false">IF(COUNTIFS(Cronograma!$H$11:$H$45,$A20,Cronograma!$C$11:$C$45,Q$6)=0,"",IF(COUNTIFS(Cronograma!$H$11:$H$45,$A20,Cronograma!$C$11:$C$45,Q$6,Cronograma!$B$11:$B$45,"1.ª visita")&gt;0,"1.ª","2.ª"))</f>
        <v/>
      </c>
      <c r="R20" s="47" t="str">
        <f aca="false">IF(COUNTIFS(Cronograma!$H$11:$H$45,$A20,Cronograma!$C$11:$C$45,R$6)=0,"",IF(COUNTIFS(Cronograma!$H$11:$H$45,$A20,Cronograma!$C$11:$C$45,R$6,Cronograma!$B$11:$B$45,"1.ª visita")&gt;0,"1.ª","2.ª"))</f>
        <v>2.ª</v>
      </c>
      <c r="S20" s="47" t="str">
        <f aca="false">IF(COUNTIFS(Cronograma!$H$11:$H$45,$A20,Cronograma!$C$11:$C$45,S$6)=0,"",IF(COUNTIFS(Cronograma!$H$11:$H$45,$A20,Cronograma!$C$11:$C$45,S$6,Cronograma!$B$11:$B$45,"1.ª visita")&gt;0,"1.ª","2.ª"))</f>
        <v/>
      </c>
      <c r="T20" s="47" t="str">
        <f aca="false">IF(COUNTIFS(Cronograma!$H$11:$H$45,$A20,Cronograma!$C$11:$C$45,T$6)=0,"",IF(COUNTIFS(Cronograma!$H$11:$H$45,$A20,Cronograma!$C$11:$C$45,T$6,Cronograma!$B$11:$B$45,"1.ª visita")&gt;0,"1.ª","2.ª"))</f>
        <v/>
      </c>
      <c r="U20" s="48" t="n">
        <f aca="false">COUNTIF(Cronograma!$H$11:$H$45,$A20)</f>
        <v>2</v>
      </c>
    </row>
    <row r="21" customFormat="false" ht="30" hidden="false" customHeight="true" outlineLevel="0" collapsed="false">
      <c r="A21" s="44" t="s">
        <v>99</v>
      </c>
      <c r="B21" s="45" t="s">
        <v>100</v>
      </c>
      <c r="C21" s="46" t="s">
        <v>101</v>
      </c>
      <c r="D21" s="47" t="str">
        <f aca="false">IF(COUNTIFS(Cronograma!$H$11:$H$45,$A21,Cronograma!$C$11:$C$45,D$6)=0,"",IF(COUNTIFS(Cronograma!$H$11:$H$45,$A21,Cronograma!$C$11:$C$45,D$6,Cronograma!$B$11:$B$45,"1.ª visita")&gt;0,"1.ª","2.ª"))</f>
        <v/>
      </c>
      <c r="E21" s="47" t="str">
        <f aca="false">IF(COUNTIFS(Cronograma!$H$11:$H$45,$A21,Cronograma!$C$11:$C$45,E$6)=0,"",IF(COUNTIFS(Cronograma!$H$11:$H$45,$A21,Cronograma!$C$11:$C$45,E$6,Cronograma!$B$11:$B$45,"1.ª visita")&gt;0,"1.ª","2.ª"))</f>
        <v/>
      </c>
      <c r="F21" s="47" t="str">
        <f aca="false">IF(COUNTIFS(Cronograma!$H$11:$H$45,$A21,Cronograma!$C$11:$C$45,F$6)=0,"",IF(COUNTIFS(Cronograma!$H$11:$H$45,$A21,Cronograma!$C$11:$C$45,F$6,Cronograma!$B$11:$B$45,"1.ª visita")&gt;0,"1.ª","2.ª"))</f>
        <v/>
      </c>
      <c r="G21" s="47" t="str">
        <f aca="false">IF(COUNTIFS(Cronograma!$H$11:$H$45,$A21,Cronograma!$C$11:$C$45,G$6)=0,"",IF(COUNTIFS(Cronograma!$H$11:$H$45,$A21,Cronograma!$C$11:$C$45,G$6,Cronograma!$B$11:$B$45,"1.ª visita")&gt;0,"1.ª","2.ª"))</f>
        <v/>
      </c>
      <c r="H21" s="47" t="str">
        <f aca="false">IF(COUNTIFS(Cronograma!$H$11:$H$45,$A21,Cronograma!$C$11:$C$45,H$6)=0,"",IF(COUNTIFS(Cronograma!$H$11:$H$45,$A21,Cronograma!$C$11:$C$45,H$6,Cronograma!$B$11:$B$45,"1.ª visita")&gt;0,"1.ª","2.ª"))</f>
        <v/>
      </c>
      <c r="I21" s="47" t="str">
        <f aca="false">IF(COUNTIFS(Cronograma!$H$11:$H$45,$A21,Cronograma!$C$11:$C$45,I$6)=0,"",IF(COUNTIFS(Cronograma!$H$11:$H$45,$A21,Cronograma!$C$11:$C$45,I$6,Cronograma!$B$11:$B$45,"1.ª visita")&gt;0,"1.ª","2.ª"))</f>
        <v/>
      </c>
      <c r="J21" s="47" t="str">
        <f aca="false">IF(COUNTIFS(Cronograma!$H$11:$H$45,$A21,Cronograma!$C$11:$C$45,J$6)=0,"",IF(COUNTIFS(Cronograma!$H$11:$H$45,$A21,Cronograma!$C$11:$C$45,J$6,Cronograma!$B$11:$B$45,"1.ª visita")&gt;0,"1.ª","2.ª"))</f>
        <v/>
      </c>
      <c r="K21" s="47" t="str">
        <f aca="false">IF(COUNTIFS(Cronograma!$H$11:$H$45,$A21,Cronograma!$C$11:$C$45,K$6)=0,"",IF(COUNTIFS(Cronograma!$H$11:$H$45,$A21,Cronograma!$C$11:$C$45,K$6,Cronograma!$B$11:$B$45,"1.ª visita")&gt;0,"1.ª","2.ª"))</f>
        <v>1.ª</v>
      </c>
      <c r="L21" s="47" t="str">
        <f aca="false">IF(COUNTIFS(Cronograma!$H$11:$H$45,$A21,Cronograma!$C$11:$C$45,L$6)=0,"",IF(COUNTIFS(Cronograma!$H$11:$H$45,$A21,Cronograma!$C$11:$C$45,L$6,Cronograma!$B$11:$B$45,"1.ª visita")&gt;0,"1.ª","2.ª"))</f>
        <v/>
      </c>
      <c r="M21" s="47" t="str">
        <f aca="false">IF(COUNTIFS(Cronograma!$H$11:$H$45,$A21,Cronograma!$C$11:$C$45,M$6)=0,"",IF(COUNTIFS(Cronograma!$H$11:$H$45,$A21,Cronograma!$C$11:$C$45,M$6,Cronograma!$B$11:$B$45,"1.ª visita")&gt;0,"1.ª","2.ª"))</f>
        <v/>
      </c>
      <c r="N21" s="47" t="str">
        <f aca="false">IF(COUNTIFS(Cronograma!$H$11:$H$45,$A21,Cronograma!$C$11:$C$45,N$6)=0,"",IF(COUNTIFS(Cronograma!$H$11:$H$45,$A21,Cronograma!$C$11:$C$45,N$6,Cronograma!$B$11:$B$45,"1.ª visita")&gt;0,"1.ª","2.ª"))</f>
        <v/>
      </c>
      <c r="O21" s="47" t="str">
        <f aca="false">IF(COUNTIFS(Cronograma!$H$11:$H$45,$A21,Cronograma!$C$11:$C$45,O$6)=0,"",IF(COUNTIFS(Cronograma!$H$11:$H$45,$A21,Cronograma!$C$11:$C$45,O$6,Cronograma!$B$11:$B$45,"1.ª visita")&gt;0,"1.ª","2.ª"))</f>
        <v/>
      </c>
      <c r="P21" s="47" t="str">
        <f aca="false">IF(COUNTIFS(Cronograma!$H$11:$H$45,$A21,Cronograma!$C$11:$C$45,P$6)=0,"",IF(COUNTIFS(Cronograma!$H$11:$H$45,$A21,Cronograma!$C$11:$C$45,P$6,Cronograma!$B$11:$B$45,"1.ª visita")&gt;0,"1.ª","2.ª"))</f>
        <v/>
      </c>
      <c r="Q21" s="47" t="str">
        <f aca="false">IF(COUNTIFS(Cronograma!$H$11:$H$45,$A21,Cronograma!$C$11:$C$45,Q$6)=0,"",IF(COUNTIFS(Cronograma!$H$11:$H$45,$A21,Cronograma!$C$11:$C$45,Q$6,Cronograma!$B$11:$B$45,"1.ª visita")&gt;0,"1.ª","2.ª"))</f>
        <v/>
      </c>
      <c r="R21" s="47" t="str">
        <f aca="false">IF(COUNTIFS(Cronograma!$H$11:$H$45,$A21,Cronograma!$C$11:$C$45,R$6)=0,"",IF(COUNTIFS(Cronograma!$H$11:$H$45,$A21,Cronograma!$C$11:$C$45,R$6,Cronograma!$B$11:$B$45,"1.ª visita")&gt;0,"1.ª","2.ª"))</f>
        <v/>
      </c>
      <c r="S21" s="47" t="str">
        <f aca="false">IF(COUNTIFS(Cronograma!$H$11:$H$45,$A21,Cronograma!$C$11:$C$45,S$6)=0,"",IF(COUNTIFS(Cronograma!$H$11:$H$45,$A21,Cronograma!$C$11:$C$45,S$6,Cronograma!$B$11:$B$45,"1.ª visita")&gt;0,"1.ª","2.ª"))</f>
        <v>2.ª</v>
      </c>
      <c r="T21" s="47" t="str">
        <f aca="false">IF(COUNTIFS(Cronograma!$H$11:$H$45,$A21,Cronograma!$C$11:$C$45,T$6)=0,"",IF(COUNTIFS(Cronograma!$H$11:$H$45,$A21,Cronograma!$C$11:$C$45,T$6,Cronograma!$B$11:$B$45,"1.ª visita")&gt;0,"1.ª","2.ª"))</f>
        <v/>
      </c>
      <c r="U21" s="48" t="n">
        <f aca="false">COUNTIF(Cronograma!$H$11:$H$45,$A21)</f>
        <v>2</v>
      </c>
    </row>
    <row r="22" customFormat="false" ht="30" hidden="false" customHeight="true" outlineLevel="0" collapsed="false">
      <c r="A22" s="44" t="s">
        <v>104</v>
      </c>
      <c r="B22" s="45" t="s">
        <v>105</v>
      </c>
      <c r="C22" s="46" t="s">
        <v>106</v>
      </c>
      <c r="D22" s="47" t="str">
        <f aca="false">IF(COUNTIFS(Cronograma!$H$11:$H$45,$A22,Cronograma!$C$11:$C$45,D$6)=0,"",IF(COUNTIFS(Cronograma!$H$11:$H$45,$A22,Cronograma!$C$11:$C$45,D$6,Cronograma!$B$11:$B$45,"1.ª visita")&gt;0,"1.ª","2.ª"))</f>
        <v/>
      </c>
      <c r="E22" s="47" t="str">
        <f aca="false">IF(COUNTIFS(Cronograma!$H$11:$H$45,$A22,Cronograma!$C$11:$C$45,E$6)=0,"",IF(COUNTIFS(Cronograma!$H$11:$H$45,$A22,Cronograma!$C$11:$C$45,E$6,Cronograma!$B$11:$B$45,"1.ª visita")&gt;0,"1.ª","2.ª"))</f>
        <v/>
      </c>
      <c r="F22" s="47" t="str">
        <f aca="false">IF(COUNTIFS(Cronograma!$H$11:$H$45,$A22,Cronograma!$C$11:$C$45,F$6)=0,"",IF(COUNTIFS(Cronograma!$H$11:$H$45,$A22,Cronograma!$C$11:$C$45,F$6,Cronograma!$B$11:$B$45,"1.ª visita")&gt;0,"1.ª","2.ª"))</f>
        <v/>
      </c>
      <c r="G22" s="47" t="str">
        <f aca="false">IF(COUNTIFS(Cronograma!$H$11:$H$45,$A22,Cronograma!$C$11:$C$45,G$6)=0,"",IF(COUNTIFS(Cronograma!$H$11:$H$45,$A22,Cronograma!$C$11:$C$45,G$6,Cronograma!$B$11:$B$45,"1.ª visita")&gt;0,"1.ª","2.ª"))</f>
        <v/>
      </c>
      <c r="H22" s="47" t="str">
        <f aca="false">IF(COUNTIFS(Cronograma!$H$11:$H$45,$A22,Cronograma!$C$11:$C$45,H$6)=0,"",IF(COUNTIFS(Cronograma!$H$11:$H$45,$A22,Cronograma!$C$11:$C$45,H$6,Cronograma!$B$11:$B$45,"1.ª visita")&gt;0,"1.ª","2.ª"))</f>
        <v/>
      </c>
      <c r="I22" s="47" t="str">
        <f aca="false">IF(COUNTIFS(Cronograma!$H$11:$H$45,$A22,Cronograma!$C$11:$C$45,I$6)=0,"",IF(COUNTIFS(Cronograma!$H$11:$H$45,$A22,Cronograma!$C$11:$C$45,I$6,Cronograma!$B$11:$B$45,"1.ª visita")&gt;0,"1.ª","2.ª"))</f>
        <v/>
      </c>
      <c r="J22" s="47" t="str">
        <f aca="false">IF(COUNTIFS(Cronograma!$H$11:$H$45,$A22,Cronograma!$C$11:$C$45,J$6)=0,"",IF(COUNTIFS(Cronograma!$H$11:$H$45,$A22,Cronograma!$C$11:$C$45,J$6,Cronograma!$B$11:$B$45,"1.ª visita")&gt;0,"1.ª","2.ª"))</f>
        <v/>
      </c>
      <c r="K22" s="47" t="str">
        <f aca="false">IF(COUNTIFS(Cronograma!$H$11:$H$45,$A22,Cronograma!$C$11:$C$45,K$6)=0,"",IF(COUNTIFS(Cronograma!$H$11:$H$45,$A22,Cronograma!$C$11:$C$45,K$6,Cronograma!$B$11:$B$45,"1.ª visita")&gt;0,"1.ª","2.ª"))</f>
        <v>1.ª</v>
      </c>
      <c r="L22" s="47" t="str">
        <f aca="false">IF(COUNTIFS(Cronograma!$H$11:$H$45,$A22,Cronograma!$C$11:$C$45,L$6)=0,"",IF(COUNTIFS(Cronograma!$H$11:$H$45,$A22,Cronograma!$C$11:$C$45,L$6,Cronograma!$B$11:$B$45,"1.ª visita")&gt;0,"1.ª","2.ª"))</f>
        <v/>
      </c>
      <c r="M22" s="47" t="str">
        <f aca="false">IF(COUNTIFS(Cronograma!$H$11:$H$45,$A22,Cronograma!$C$11:$C$45,M$6)=0,"",IF(COUNTIFS(Cronograma!$H$11:$H$45,$A22,Cronograma!$C$11:$C$45,M$6,Cronograma!$B$11:$B$45,"1.ª visita")&gt;0,"1.ª","2.ª"))</f>
        <v/>
      </c>
      <c r="N22" s="47" t="str">
        <f aca="false">IF(COUNTIFS(Cronograma!$H$11:$H$45,$A22,Cronograma!$C$11:$C$45,N$6)=0,"",IF(COUNTIFS(Cronograma!$H$11:$H$45,$A22,Cronograma!$C$11:$C$45,N$6,Cronograma!$B$11:$B$45,"1.ª visita")&gt;0,"1.ª","2.ª"))</f>
        <v/>
      </c>
      <c r="O22" s="47" t="str">
        <f aca="false">IF(COUNTIFS(Cronograma!$H$11:$H$45,$A22,Cronograma!$C$11:$C$45,O$6)=0,"",IF(COUNTIFS(Cronograma!$H$11:$H$45,$A22,Cronograma!$C$11:$C$45,O$6,Cronograma!$B$11:$B$45,"1.ª visita")&gt;0,"1.ª","2.ª"))</f>
        <v/>
      </c>
      <c r="P22" s="47" t="str">
        <f aca="false">IF(COUNTIFS(Cronograma!$H$11:$H$45,$A22,Cronograma!$C$11:$C$45,P$6)=0,"",IF(COUNTIFS(Cronograma!$H$11:$H$45,$A22,Cronograma!$C$11:$C$45,P$6,Cronograma!$B$11:$B$45,"1.ª visita")&gt;0,"1.ª","2.ª"))</f>
        <v/>
      </c>
      <c r="Q22" s="47" t="str">
        <f aca="false">IF(COUNTIFS(Cronograma!$H$11:$H$45,$A22,Cronograma!$C$11:$C$45,Q$6)=0,"",IF(COUNTIFS(Cronograma!$H$11:$H$45,$A22,Cronograma!$C$11:$C$45,Q$6,Cronograma!$B$11:$B$45,"1.ª visita")&gt;0,"1.ª","2.ª"))</f>
        <v/>
      </c>
      <c r="R22" s="47" t="str">
        <f aca="false">IF(COUNTIFS(Cronograma!$H$11:$H$45,$A22,Cronograma!$C$11:$C$45,R$6)=0,"",IF(COUNTIFS(Cronograma!$H$11:$H$45,$A22,Cronograma!$C$11:$C$45,R$6,Cronograma!$B$11:$B$45,"1.ª visita")&gt;0,"1.ª","2.ª"))</f>
        <v/>
      </c>
      <c r="S22" s="47" t="str">
        <f aca="false">IF(COUNTIFS(Cronograma!$H$11:$H$45,$A22,Cronograma!$C$11:$C$45,S$6)=0,"",IF(COUNTIFS(Cronograma!$H$11:$H$45,$A22,Cronograma!$C$11:$C$45,S$6,Cronograma!$B$11:$B$45,"1.ª visita")&gt;0,"1.ª","2.ª"))</f>
        <v>2.ª</v>
      </c>
      <c r="T22" s="47" t="str">
        <f aca="false">IF(COUNTIFS(Cronograma!$H$11:$H$45,$A22,Cronograma!$C$11:$C$45,T$6)=0,"",IF(COUNTIFS(Cronograma!$H$11:$H$45,$A22,Cronograma!$C$11:$C$45,T$6,Cronograma!$B$11:$B$45,"1.ª visita")&gt;0,"1.ª","2.ª"))</f>
        <v/>
      </c>
      <c r="U22" s="48" t="n">
        <f aca="false">COUNTIF(Cronograma!$H$11:$H$45,$A22)</f>
        <v>2</v>
      </c>
    </row>
    <row r="23" customFormat="false" ht="30" hidden="false" customHeight="true" outlineLevel="0" collapsed="false">
      <c r="A23" s="44" t="s">
        <v>112</v>
      </c>
      <c r="B23" s="45" t="s">
        <v>113</v>
      </c>
      <c r="C23" s="46" t="s">
        <v>114</v>
      </c>
      <c r="D23" s="47" t="str">
        <f aca="false">IF(COUNTIFS(Cronograma!$H$11:$H$45,$A23,Cronograma!$C$11:$C$45,D$6)=0,"",IF(COUNTIFS(Cronograma!$H$11:$H$45,$A23,Cronograma!$C$11:$C$45,D$6,Cronograma!$B$11:$B$45,"1.ª visita")&gt;0,"1.ª","2.ª"))</f>
        <v/>
      </c>
      <c r="E23" s="47" t="str">
        <f aca="false">IF(COUNTIFS(Cronograma!$H$11:$H$45,$A23,Cronograma!$C$11:$C$45,E$6)=0,"",IF(COUNTIFS(Cronograma!$H$11:$H$45,$A23,Cronograma!$C$11:$C$45,E$6,Cronograma!$B$11:$B$45,"1.ª visita")&gt;0,"1.ª","2.ª"))</f>
        <v/>
      </c>
      <c r="F23" s="47" t="str">
        <f aca="false">IF(COUNTIFS(Cronograma!$H$11:$H$45,$A23,Cronograma!$C$11:$C$45,F$6)=0,"",IF(COUNTIFS(Cronograma!$H$11:$H$45,$A23,Cronograma!$C$11:$C$45,F$6,Cronograma!$B$11:$B$45,"1.ª visita")&gt;0,"1.ª","2.ª"))</f>
        <v/>
      </c>
      <c r="G23" s="47" t="str">
        <f aca="false">IF(COUNTIFS(Cronograma!$H$11:$H$45,$A23,Cronograma!$C$11:$C$45,G$6)=0,"",IF(COUNTIFS(Cronograma!$H$11:$H$45,$A23,Cronograma!$C$11:$C$45,G$6,Cronograma!$B$11:$B$45,"1.ª visita")&gt;0,"1.ª","2.ª"))</f>
        <v/>
      </c>
      <c r="H23" s="47" t="str">
        <f aca="false">IF(COUNTIFS(Cronograma!$H$11:$H$45,$A23,Cronograma!$C$11:$C$45,H$6)=0,"",IF(COUNTIFS(Cronograma!$H$11:$H$45,$A23,Cronograma!$C$11:$C$45,H$6,Cronograma!$B$11:$B$45,"1.ª visita")&gt;0,"1.ª","2.ª"))</f>
        <v/>
      </c>
      <c r="I23" s="47" t="str">
        <f aca="false">IF(COUNTIFS(Cronograma!$H$11:$H$45,$A23,Cronograma!$C$11:$C$45,I$6)=0,"",IF(COUNTIFS(Cronograma!$H$11:$H$45,$A23,Cronograma!$C$11:$C$45,I$6,Cronograma!$B$11:$B$45,"1.ª visita")&gt;0,"1.ª","2.ª"))</f>
        <v/>
      </c>
      <c r="J23" s="47" t="str">
        <f aca="false">IF(COUNTIFS(Cronograma!$H$11:$H$45,$A23,Cronograma!$C$11:$C$45,J$6)=0,"",IF(COUNTIFS(Cronograma!$H$11:$H$45,$A23,Cronograma!$C$11:$C$45,J$6,Cronograma!$B$11:$B$45,"1.ª visita")&gt;0,"1.ª","2.ª"))</f>
        <v/>
      </c>
      <c r="K23" s="47" t="str">
        <f aca="false">IF(COUNTIFS(Cronograma!$H$11:$H$45,$A23,Cronograma!$C$11:$C$45,K$6)=0,"",IF(COUNTIFS(Cronograma!$H$11:$H$45,$A23,Cronograma!$C$11:$C$45,K$6,Cronograma!$B$11:$B$45,"1.ª visita")&gt;0,"1.ª","2.ª"))</f>
        <v/>
      </c>
      <c r="L23" s="47" t="str">
        <f aca="false">IF(COUNTIFS(Cronograma!$H$11:$H$45,$A23,Cronograma!$C$11:$C$45,L$6)=0,"",IF(COUNTIFS(Cronograma!$H$11:$H$45,$A23,Cronograma!$C$11:$C$45,L$6,Cronograma!$B$11:$B$45,"1.ª visita")&gt;0,"1.ª","2.ª"))</f>
        <v/>
      </c>
      <c r="M23" s="47" t="str">
        <f aca="false">IF(COUNTIFS(Cronograma!$H$11:$H$45,$A23,Cronograma!$C$11:$C$45,M$6)=0,"",IF(COUNTIFS(Cronograma!$H$11:$H$45,$A23,Cronograma!$C$11:$C$45,M$6,Cronograma!$B$11:$B$45,"1.ª visita")&gt;0,"1.ª","2.ª"))</f>
        <v>1.ª</v>
      </c>
      <c r="N23" s="47" t="str">
        <f aca="false">IF(COUNTIFS(Cronograma!$H$11:$H$45,$A23,Cronograma!$C$11:$C$45,N$6)=0,"",IF(COUNTIFS(Cronograma!$H$11:$H$45,$A23,Cronograma!$C$11:$C$45,N$6,Cronograma!$B$11:$B$45,"1.ª visita")&gt;0,"1.ª","2.ª"))</f>
        <v/>
      </c>
      <c r="O23" s="47" t="str">
        <f aca="false">IF(COUNTIFS(Cronograma!$H$11:$H$45,$A23,Cronograma!$C$11:$C$45,O$6)=0,"",IF(COUNTIFS(Cronograma!$H$11:$H$45,$A23,Cronograma!$C$11:$C$45,O$6,Cronograma!$B$11:$B$45,"1.ª visita")&gt;0,"1.ª","2.ª"))</f>
        <v/>
      </c>
      <c r="P23" s="47" t="str">
        <f aca="false">IF(COUNTIFS(Cronograma!$H$11:$H$45,$A23,Cronograma!$C$11:$C$45,P$6)=0,"",IF(COUNTIFS(Cronograma!$H$11:$H$45,$A23,Cronograma!$C$11:$C$45,P$6,Cronograma!$B$11:$B$45,"1.ª visita")&gt;0,"1.ª","2.ª"))</f>
        <v/>
      </c>
      <c r="Q23" s="47" t="str">
        <f aca="false">IF(COUNTIFS(Cronograma!$H$11:$H$45,$A23,Cronograma!$C$11:$C$45,Q$6)=0,"",IF(COUNTIFS(Cronograma!$H$11:$H$45,$A23,Cronograma!$C$11:$C$45,Q$6,Cronograma!$B$11:$B$45,"1.ª visita")&gt;0,"1.ª","2.ª"))</f>
        <v/>
      </c>
      <c r="R23" s="47" t="str">
        <f aca="false">IF(COUNTIFS(Cronograma!$H$11:$H$45,$A23,Cronograma!$C$11:$C$45,R$6)=0,"",IF(COUNTIFS(Cronograma!$H$11:$H$45,$A23,Cronograma!$C$11:$C$45,R$6,Cronograma!$B$11:$B$45,"1.ª visita")&gt;0,"1.ª","2.ª"))</f>
        <v/>
      </c>
      <c r="S23" s="47" t="str">
        <f aca="false">IF(COUNTIFS(Cronograma!$H$11:$H$45,$A23,Cronograma!$C$11:$C$45,S$6)=0,"",IF(COUNTIFS(Cronograma!$H$11:$H$45,$A23,Cronograma!$C$11:$C$45,S$6,Cronograma!$B$11:$B$45,"1.ª visita")&gt;0,"1.ª","2.ª"))</f>
        <v/>
      </c>
      <c r="T23" s="47" t="str">
        <f aca="false">IF(COUNTIFS(Cronograma!$H$11:$H$45,$A23,Cronograma!$C$11:$C$45,T$6)=0,"",IF(COUNTIFS(Cronograma!$H$11:$H$45,$A23,Cronograma!$C$11:$C$45,T$6,Cronograma!$B$11:$B$45,"1.ª visita")&gt;0,"1.ª","2.ª"))</f>
        <v>2.ª</v>
      </c>
      <c r="U23" s="48" t="n">
        <f aca="false">COUNTIF(Cronograma!$H$11:$H$45,$A23)</f>
        <v>2</v>
      </c>
    </row>
    <row r="24" customFormat="false" ht="15" hidden="false" customHeight="false" outlineLevel="0" collapsed="false">
      <c r="A24" s="49"/>
      <c r="B24" s="49"/>
      <c r="C24" s="50" t="s">
        <v>143</v>
      </c>
      <c r="D24" s="51" t="n">
        <f aca="false">COUNTIFS(Cronograma!$C$11:$C$45,D$6,Cronograma!$H$11:$H$45,"?*")</f>
        <v>0</v>
      </c>
      <c r="E24" s="51" t="n">
        <f aca="false">COUNTIFS(Cronograma!$C$11:$C$45,E$6,Cronograma!$H$11:$H$45,"?*")</f>
        <v>3</v>
      </c>
      <c r="F24" s="51" t="n">
        <f aca="false">COUNTIFS(Cronograma!$C$11:$C$45,F$6,Cronograma!$H$11:$H$45,"?*")</f>
        <v>3</v>
      </c>
      <c r="G24" s="51" t="n">
        <f aca="false">COUNTIFS(Cronograma!$C$11:$C$45,G$6,Cronograma!$H$11:$H$45,"?*")</f>
        <v>0</v>
      </c>
      <c r="H24" s="51" t="n">
        <f aca="false">COUNTIFS(Cronograma!$C$11:$C$45,H$6,Cronograma!$H$11:$H$45,"?*")</f>
        <v>0</v>
      </c>
      <c r="I24" s="51" t="n">
        <f aca="false">COUNTIFS(Cronograma!$C$11:$C$45,I$6,Cronograma!$H$11:$H$45,"?*")</f>
        <v>3</v>
      </c>
      <c r="J24" s="51" t="n">
        <f aca="false">COUNTIFS(Cronograma!$C$11:$C$45,J$6,Cronograma!$H$11:$H$45,"?*")</f>
        <v>3</v>
      </c>
      <c r="K24" s="51" t="n">
        <f aca="false">COUNTIFS(Cronograma!$C$11:$C$45,K$6,Cronograma!$H$11:$H$45,"?*")</f>
        <v>2</v>
      </c>
      <c r="L24" s="51" t="n">
        <f aca="false">COUNTIFS(Cronograma!$C$11:$C$45,L$6,Cronograma!$H$11:$H$45,"?*")</f>
        <v>0</v>
      </c>
      <c r="M24" s="51" t="n">
        <f aca="false">COUNTIFS(Cronograma!$C$11:$C$45,M$6,Cronograma!$H$11:$H$45,"?*")</f>
        <v>1</v>
      </c>
      <c r="N24" s="51" t="n">
        <f aca="false">COUNTIFS(Cronograma!$C$11:$C$45,N$6,Cronograma!$H$11:$H$45,"?*")</f>
        <v>3</v>
      </c>
      <c r="O24" s="51" t="n">
        <f aca="false">COUNTIFS(Cronograma!$C$11:$C$45,O$6,Cronograma!$H$11:$H$45,"?*")</f>
        <v>3</v>
      </c>
      <c r="P24" s="51" t="n">
        <f aca="false">COUNTIFS(Cronograma!$C$11:$C$45,P$6,Cronograma!$H$11:$H$45,"?*")</f>
        <v>3</v>
      </c>
      <c r="Q24" s="51" t="n">
        <f aca="false">COUNTIFS(Cronograma!$C$11:$C$45,Q$6,Cronograma!$H$11:$H$45,"?*")</f>
        <v>0</v>
      </c>
      <c r="R24" s="51" t="n">
        <f aca="false">COUNTIFS(Cronograma!$C$11:$C$45,R$6,Cronograma!$H$11:$H$45,"?*")</f>
        <v>3</v>
      </c>
      <c r="S24" s="51" t="n">
        <f aca="false">COUNTIFS(Cronograma!$C$11:$C$45,S$6,Cronograma!$H$11:$H$45,"?*")</f>
        <v>2</v>
      </c>
      <c r="T24" s="51" t="n">
        <f aca="false">COUNTIFS(Cronograma!$C$11:$C$45,T$6,Cronograma!$H$11:$H$45,"?*")</f>
        <v>1</v>
      </c>
      <c r="U24" s="52" t="n">
        <f aca="false">SUM(U9:U23)</f>
        <v>30</v>
      </c>
    </row>
  </sheetData>
  <mergeCells count="8">
    <mergeCell ref="A1:U1"/>
    <mergeCell ref="A2:U2"/>
    <mergeCell ref="A3:U3"/>
    <mergeCell ref="A5:U5"/>
    <mergeCell ref="A6:A8"/>
    <mergeCell ref="B6:B8"/>
    <mergeCell ref="C6:C8"/>
    <mergeCell ref="U6:U8"/>
  </mergeCells>
  <conditionalFormatting sqref="D9:T23">
    <cfRule type="cellIs" priority="2" operator="equal" aboveAverage="0" equalAverage="0" bottom="0" percent="0" rank="0" text="" dxfId="5">
      <formula>"1.ª"</formula>
    </cfRule>
    <cfRule type="cellIs" priority="3" operator="equal" aboveAverage="0" equalAverage="0" bottom="0" percent="0" rank="0" text="" dxfId="6">
      <formula>"2.ª"</formula>
    </cfRule>
  </conditionalFormatting>
  <conditionalFormatting sqref="D9:D23">
    <cfRule type="expression" priority="4" aboveAverage="0" equalAverage="0" bottom="0" percent="0" rank="0" text="" dxfId="7">
      <formula>D$8&lt;&gt;""</formula>
    </cfRule>
  </conditionalFormatting>
  <conditionalFormatting sqref="E9:E23">
    <cfRule type="expression" priority="5" aboveAverage="0" equalAverage="0" bottom="0" percent="0" rank="0" text="" dxfId="7">
      <formula>E$8&lt;&gt;""</formula>
    </cfRule>
  </conditionalFormatting>
  <conditionalFormatting sqref="F9:F23">
    <cfRule type="expression" priority="6" aboveAverage="0" equalAverage="0" bottom="0" percent="0" rank="0" text="" dxfId="7">
      <formula>F$8&lt;&gt;""</formula>
    </cfRule>
  </conditionalFormatting>
  <conditionalFormatting sqref="G9:G23">
    <cfRule type="expression" priority="7" aboveAverage="0" equalAverage="0" bottom="0" percent="0" rank="0" text="" dxfId="7">
      <formula>G$8&lt;&gt;""</formula>
    </cfRule>
  </conditionalFormatting>
  <conditionalFormatting sqref="H9:H23">
    <cfRule type="expression" priority="8" aboveAverage="0" equalAverage="0" bottom="0" percent="0" rank="0" text="" dxfId="7">
      <formula>H$8&lt;&gt;""</formula>
    </cfRule>
  </conditionalFormatting>
  <conditionalFormatting sqref="I9:I23">
    <cfRule type="expression" priority="9" aboveAverage="0" equalAverage="0" bottom="0" percent="0" rank="0" text="" dxfId="7">
      <formula>I$8&lt;&gt;""</formula>
    </cfRule>
  </conditionalFormatting>
  <conditionalFormatting sqref="J9:J23">
    <cfRule type="expression" priority="10" aboveAverage="0" equalAverage="0" bottom="0" percent="0" rank="0" text="" dxfId="7">
      <formula>J$8&lt;&gt;""</formula>
    </cfRule>
  </conditionalFormatting>
  <conditionalFormatting sqref="K9:K23">
    <cfRule type="expression" priority="11" aboveAverage="0" equalAverage="0" bottom="0" percent="0" rank="0" text="" dxfId="7">
      <formula>K$8&lt;&gt;""</formula>
    </cfRule>
  </conditionalFormatting>
  <conditionalFormatting sqref="L9:L23">
    <cfRule type="expression" priority="12" aboveAverage="0" equalAverage="0" bottom="0" percent="0" rank="0" text="" dxfId="7">
      <formula>L$8&lt;&gt;""</formula>
    </cfRule>
  </conditionalFormatting>
  <conditionalFormatting sqref="M9:M23">
    <cfRule type="expression" priority="13" aboveAverage="0" equalAverage="0" bottom="0" percent="0" rank="0" text="" dxfId="7">
      <formula>M$8&lt;&gt;""</formula>
    </cfRule>
  </conditionalFormatting>
  <conditionalFormatting sqref="N9:N23">
    <cfRule type="expression" priority="14" aboveAverage="0" equalAverage="0" bottom="0" percent="0" rank="0" text="" dxfId="7">
      <formula>N$8&lt;&gt;""</formula>
    </cfRule>
  </conditionalFormatting>
  <conditionalFormatting sqref="O9:O23">
    <cfRule type="expression" priority="15" aboveAverage="0" equalAverage="0" bottom="0" percent="0" rank="0" text="" dxfId="7">
      <formula>O$8&lt;&gt;""</formula>
    </cfRule>
  </conditionalFormatting>
  <conditionalFormatting sqref="P9:P23">
    <cfRule type="expression" priority="16" aboveAverage="0" equalAverage="0" bottom="0" percent="0" rank="0" text="" dxfId="7">
      <formula>P$8&lt;&gt;""</formula>
    </cfRule>
  </conditionalFormatting>
  <conditionalFormatting sqref="Q9:Q23">
    <cfRule type="expression" priority="17" aboveAverage="0" equalAverage="0" bottom="0" percent="0" rank="0" text="" dxfId="7">
      <formula>Q$8&lt;&gt;""</formula>
    </cfRule>
  </conditionalFormatting>
  <conditionalFormatting sqref="R9:R23">
    <cfRule type="expression" priority="18" aboveAverage="0" equalAverage="0" bottom="0" percent="0" rank="0" text="" dxfId="7">
      <formula>R$8&lt;&gt;""</formula>
    </cfRule>
  </conditionalFormatting>
  <conditionalFormatting sqref="S9:S23">
    <cfRule type="expression" priority="19" aboveAverage="0" equalAverage="0" bottom="0" percent="0" rank="0" text="" dxfId="7">
      <formula>S$8&lt;&gt;""</formula>
    </cfRule>
  </conditionalFormatting>
  <conditionalFormatting sqref="T9:T23">
    <cfRule type="expression" priority="20" aboveAverage="0" equalAverage="0" bottom="0" percent="0" rank="0" text="" dxfId="7">
      <formula>T$8&lt;&gt;""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315F"/>
    <pageSetUpPr fitToPage="tru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6" min="5" style="0" width="12"/>
    <col collapsed="false" customWidth="true" hidden="false" outlineLevel="0" max="8" min="7" style="0" width="9"/>
    <col collapsed="false" customWidth="true" hidden="false" outlineLevel="0" max="9" min="9" style="0" width="18"/>
  </cols>
  <sheetData>
    <row r="1" customFormat="false" ht="30" hidden="false" customHeight="true" outlineLevel="0" collapsed="false">
      <c r="A1" s="1" t="s">
        <v>144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145</v>
      </c>
      <c r="B2" s="2"/>
      <c r="C2" s="2"/>
      <c r="D2" s="2"/>
      <c r="E2" s="2"/>
      <c r="F2" s="2"/>
      <c r="G2" s="2"/>
      <c r="H2" s="2"/>
      <c r="I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</row>
    <row r="6" customFormat="false" ht="30" hidden="false" customHeight="true" outlineLevel="0" collapsed="false">
      <c r="A6" s="13" t="s">
        <v>19</v>
      </c>
      <c r="B6" s="13" t="s">
        <v>20</v>
      </c>
      <c r="C6" s="13" t="s">
        <v>21</v>
      </c>
      <c r="D6" s="13" t="s">
        <v>22</v>
      </c>
      <c r="E6" s="13" t="s">
        <v>31</v>
      </c>
      <c r="F6" s="13" t="s">
        <v>117</v>
      </c>
      <c r="G6" s="13" t="s">
        <v>142</v>
      </c>
      <c r="H6" s="13" t="s">
        <v>146</v>
      </c>
      <c r="I6" s="13" t="s">
        <v>147</v>
      </c>
    </row>
    <row r="7" customFormat="false" ht="30" hidden="false" customHeight="true" outlineLevel="0" collapsed="false">
      <c r="A7" s="53" t="s">
        <v>32</v>
      </c>
      <c r="B7" s="22" t="s">
        <v>33</v>
      </c>
      <c r="C7" s="22" t="s">
        <v>34</v>
      </c>
      <c r="D7" s="22" t="s">
        <v>35</v>
      </c>
      <c r="E7" s="54" t="n">
        <f aca="false">_xlfn.MINIFS(Cronograma!$C$11:$C$45,Cronograma!$H$11:$H$45,$A7,Cronograma!$B$11:$B$45,"1.ª visita")</f>
        <v>46316</v>
      </c>
      <c r="F7" s="54" t="n">
        <f aca="false">_xlfn.MINIFS(Cronograma!$C$11:$C$45,Cronograma!$H$11:$H$45,$A7,Cronograma!$B$11:$B$45,"2.ª visita")</f>
        <v>46329</v>
      </c>
      <c r="G7" s="15" t="n">
        <f aca="false">COUNTIF(Cronograma!$H$11:$H$45,$A7)</f>
        <v>2</v>
      </c>
      <c r="H7" s="55" t="n">
        <f aca="false">SUMIF(Cronograma!$H$11:$H$45,$A7,Cronograma!$G$11:$G$45)*24</f>
        <v>3.33333333333333</v>
      </c>
      <c r="I7" s="16" t="str">
        <f aca="false">IF(G7=0,"Sin visitas",IF(G7=1,"Falta 2.ª visita","Dos visitas"))</f>
        <v>Dos visitas</v>
      </c>
    </row>
    <row r="8" customFormat="false" ht="30" hidden="false" customHeight="true" outlineLevel="0" collapsed="false">
      <c r="A8" s="56" t="s">
        <v>41</v>
      </c>
      <c r="B8" s="31" t="s">
        <v>42</v>
      </c>
      <c r="C8" s="31" t="s">
        <v>43</v>
      </c>
      <c r="D8" s="31" t="s">
        <v>44</v>
      </c>
      <c r="E8" s="57" t="n">
        <f aca="false">_xlfn.MINIFS(Cronograma!$C$11:$C$45,Cronograma!$H$11:$H$45,$A8,Cronograma!$B$11:$B$45,"1.ª visita")</f>
        <v>46316</v>
      </c>
      <c r="F8" s="57" t="n">
        <f aca="false">_xlfn.MINIFS(Cronograma!$C$11:$C$45,Cronograma!$H$11:$H$45,$A8,Cronograma!$B$11:$B$45,"2.ª visita")</f>
        <v>46329</v>
      </c>
      <c r="G8" s="24" t="n">
        <f aca="false">COUNTIF(Cronograma!$H$11:$H$45,$A8)</f>
        <v>2</v>
      </c>
      <c r="H8" s="58" t="n">
        <f aca="false">SUMIF(Cronograma!$H$11:$H$45,$A8,Cronograma!$G$11:$G$45)*24</f>
        <v>3.33333333333333</v>
      </c>
      <c r="I8" s="25" t="str">
        <f aca="false">IF(G8=0,"Sin visitas",IF(G8=1,"Falta 2.ª visita","Dos visitas"))</f>
        <v>Dos visitas</v>
      </c>
    </row>
    <row r="9" customFormat="false" ht="45.75" hidden="false" customHeight="true" outlineLevel="0" collapsed="false">
      <c r="A9" s="53" t="s">
        <v>46</v>
      </c>
      <c r="B9" s="22" t="s">
        <v>47</v>
      </c>
      <c r="C9" s="22" t="s">
        <v>48</v>
      </c>
      <c r="D9" s="22" t="s">
        <v>49</v>
      </c>
      <c r="E9" s="54" t="n">
        <f aca="false">_xlfn.MINIFS(Cronograma!$C$11:$C$45,Cronograma!$H$11:$H$45,$A9,Cronograma!$B$11:$B$45,"1.ª visita")</f>
        <v>46316</v>
      </c>
      <c r="F9" s="54" t="n">
        <f aca="false">_xlfn.MINIFS(Cronograma!$C$11:$C$45,Cronograma!$H$11:$H$45,$A9,Cronograma!$B$11:$B$45,"2.ª visita")</f>
        <v>46329</v>
      </c>
      <c r="G9" s="15" t="n">
        <f aca="false">COUNTIF(Cronograma!$H$11:$H$45,$A9)</f>
        <v>2</v>
      </c>
      <c r="H9" s="55" t="n">
        <f aca="false">SUMIF(Cronograma!$H$11:$H$45,$A9,Cronograma!$G$11:$G$45)*24</f>
        <v>3.33333333333333</v>
      </c>
      <c r="I9" s="16" t="str">
        <f aca="false">IF(G9=0,"Sin visitas",IF(G9=1,"Falta 2.ª visita","Dos visitas"))</f>
        <v>Dos visitas</v>
      </c>
    </row>
    <row r="10" customFormat="false" ht="30" hidden="false" customHeight="true" outlineLevel="0" collapsed="false">
      <c r="A10" s="56" t="s">
        <v>51</v>
      </c>
      <c r="B10" s="31" t="s">
        <v>52</v>
      </c>
      <c r="C10" s="31" t="s">
        <v>53</v>
      </c>
      <c r="D10" s="31" t="s">
        <v>54</v>
      </c>
      <c r="E10" s="57" t="n">
        <f aca="false">_xlfn.MINIFS(Cronograma!$C$11:$C$45,Cronograma!$H$11:$H$45,$A10,Cronograma!$B$11:$B$45,"1.ª visita")</f>
        <v>46317</v>
      </c>
      <c r="F10" s="57" t="n">
        <f aca="false">_xlfn.MINIFS(Cronograma!$C$11:$C$45,Cronograma!$H$11:$H$45,$A10,Cronograma!$B$11:$B$45,"2.ª visita")</f>
        <v>46330</v>
      </c>
      <c r="G10" s="24" t="n">
        <f aca="false">COUNTIF(Cronograma!$H$11:$H$45,$A10)</f>
        <v>2</v>
      </c>
      <c r="H10" s="58" t="n">
        <f aca="false">SUMIF(Cronograma!$H$11:$H$45,$A10,Cronograma!$G$11:$G$45)*24</f>
        <v>3.33333333333333</v>
      </c>
      <c r="I10" s="25" t="str">
        <f aca="false">IF(G10=0,"Sin visitas",IF(G10=1,"Falta 2.ª visita","Dos visitas"))</f>
        <v>Dos visitas</v>
      </c>
    </row>
    <row r="11" customFormat="false" ht="30" hidden="false" customHeight="true" outlineLevel="0" collapsed="false">
      <c r="A11" s="53" t="s">
        <v>56</v>
      </c>
      <c r="B11" s="22" t="s">
        <v>57</v>
      </c>
      <c r="C11" s="22" t="s">
        <v>58</v>
      </c>
      <c r="D11" s="22" t="s">
        <v>59</v>
      </c>
      <c r="E11" s="54" t="n">
        <f aca="false">_xlfn.MINIFS(Cronograma!$C$11:$C$45,Cronograma!$H$11:$H$45,$A11,Cronograma!$B$11:$B$45,"1.ª visita")</f>
        <v>46317</v>
      </c>
      <c r="F11" s="54" t="n">
        <f aca="false">_xlfn.MINIFS(Cronograma!$C$11:$C$45,Cronograma!$H$11:$H$45,$A11,Cronograma!$B$11:$B$45,"2.ª visita")</f>
        <v>46330</v>
      </c>
      <c r="G11" s="15" t="n">
        <f aca="false">COUNTIF(Cronograma!$H$11:$H$45,$A11)</f>
        <v>2</v>
      </c>
      <c r="H11" s="55" t="n">
        <f aca="false">SUMIF(Cronograma!$H$11:$H$45,$A11,Cronograma!$G$11:$G$45)*24</f>
        <v>3.33333333333333</v>
      </c>
      <c r="I11" s="16" t="str">
        <f aca="false">IF(G11=0,"Sin visitas",IF(G11=1,"Falta 2.ª visita","Dos visitas"))</f>
        <v>Dos visitas</v>
      </c>
    </row>
    <row r="12" customFormat="false" ht="30" hidden="false" customHeight="true" outlineLevel="0" collapsed="false">
      <c r="A12" s="56" t="s">
        <v>61</v>
      </c>
      <c r="B12" s="31" t="s">
        <v>62</v>
      </c>
      <c r="C12" s="31" t="s">
        <v>63</v>
      </c>
      <c r="D12" s="31" t="s">
        <v>64</v>
      </c>
      <c r="E12" s="57" t="n">
        <f aca="false">_xlfn.MINIFS(Cronograma!$C$11:$C$45,Cronograma!$H$11:$H$45,$A12,Cronograma!$B$11:$B$45,"1.ª visita")</f>
        <v>46317</v>
      </c>
      <c r="F12" s="57" t="n">
        <f aca="false">_xlfn.MINIFS(Cronograma!$C$11:$C$45,Cronograma!$H$11:$H$45,$A12,Cronograma!$B$11:$B$45,"2.ª visita")</f>
        <v>46330</v>
      </c>
      <c r="G12" s="24" t="n">
        <f aca="false">COUNTIF(Cronograma!$H$11:$H$45,$A12)</f>
        <v>2</v>
      </c>
      <c r="H12" s="58" t="n">
        <f aca="false">SUMIF(Cronograma!$H$11:$H$45,$A12,Cronograma!$G$11:$G$45)*24</f>
        <v>2.5</v>
      </c>
      <c r="I12" s="25" t="str">
        <f aca="false">IF(G12=0,"Sin visitas",IF(G12=1,"Falta 2.ª visita","Dos visitas"))</f>
        <v>Dos visitas</v>
      </c>
    </row>
    <row r="13" customFormat="false" ht="30" hidden="false" customHeight="true" outlineLevel="0" collapsed="false">
      <c r="A13" s="53" t="s">
        <v>70</v>
      </c>
      <c r="B13" s="22" t="s">
        <v>71</v>
      </c>
      <c r="C13" s="22" t="s">
        <v>53</v>
      </c>
      <c r="D13" s="22" t="s">
        <v>54</v>
      </c>
      <c r="E13" s="54" t="n">
        <f aca="false">_xlfn.MINIFS(Cronograma!$C$11:$C$45,Cronograma!$H$11:$H$45,$A13,Cronograma!$B$11:$B$45,"1.ª visita")</f>
        <v>46322</v>
      </c>
      <c r="F13" s="54" t="n">
        <f aca="false">_xlfn.MINIFS(Cronograma!$C$11:$C$45,Cronograma!$H$11:$H$45,$A13,Cronograma!$B$11:$B$45,"2.ª visita")</f>
        <v>46331</v>
      </c>
      <c r="G13" s="15" t="n">
        <f aca="false">COUNTIF(Cronograma!$H$11:$H$45,$A13)</f>
        <v>2</v>
      </c>
      <c r="H13" s="55" t="n">
        <f aca="false">SUMIF(Cronograma!$H$11:$H$45,$A13,Cronograma!$G$11:$G$45)*24</f>
        <v>3.33333333333333</v>
      </c>
      <c r="I13" s="16" t="str">
        <f aca="false">IF(G13=0,"Sin visitas",IF(G13=1,"Falta 2.ª visita","Dos visitas"))</f>
        <v>Dos visitas</v>
      </c>
    </row>
    <row r="14" customFormat="false" ht="30" hidden="false" customHeight="true" outlineLevel="0" collapsed="false">
      <c r="A14" s="56" t="s">
        <v>73</v>
      </c>
      <c r="B14" s="31" t="s">
        <v>74</v>
      </c>
      <c r="C14" s="31" t="s">
        <v>75</v>
      </c>
      <c r="D14" s="31" t="s">
        <v>76</v>
      </c>
      <c r="E14" s="57" t="n">
        <f aca="false">_xlfn.MINIFS(Cronograma!$C$11:$C$45,Cronograma!$H$11:$H$45,$A14,Cronograma!$B$11:$B$45,"1.ª visita")</f>
        <v>46322</v>
      </c>
      <c r="F14" s="57" t="n">
        <f aca="false">_xlfn.MINIFS(Cronograma!$C$11:$C$45,Cronograma!$H$11:$H$45,$A14,Cronograma!$B$11:$B$45,"2.ª visita")</f>
        <v>46331</v>
      </c>
      <c r="G14" s="24" t="n">
        <f aca="false">COUNTIF(Cronograma!$H$11:$H$45,$A14)</f>
        <v>2</v>
      </c>
      <c r="H14" s="58" t="n">
        <f aca="false">SUMIF(Cronograma!$H$11:$H$45,$A14,Cronograma!$G$11:$G$45)*24</f>
        <v>3.33333333333333</v>
      </c>
      <c r="I14" s="25" t="str">
        <f aca="false">IF(G14=0,"Sin visitas",IF(G14=1,"Falta 2.ª visita","Dos visitas"))</f>
        <v>Dos visitas</v>
      </c>
    </row>
    <row r="15" customFormat="false" ht="30" hidden="false" customHeight="true" outlineLevel="0" collapsed="false">
      <c r="A15" s="53" t="s">
        <v>78</v>
      </c>
      <c r="B15" s="22" t="s">
        <v>79</v>
      </c>
      <c r="C15" s="22" t="s">
        <v>80</v>
      </c>
      <c r="D15" s="22" t="s">
        <v>81</v>
      </c>
      <c r="E15" s="54" t="n">
        <f aca="false">_xlfn.MINIFS(Cronograma!$C$11:$C$45,Cronograma!$H$11:$H$45,$A15,Cronograma!$B$11:$B$45,"1.ª visita")</f>
        <v>46322</v>
      </c>
      <c r="F15" s="54" t="n">
        <f aca="false">_xlfn.MINIFS(Cronograma!$C$11:$C$45,Cronograma!$H$11:$H$45,$A15,Cronograma!$B$11:$B$45,"2.ª visita")</f>
        <v>46331</v>
      </c>
      <c r="G15" s="15" t="n">
        <f aca="false">COUNTIF(Cronograma!$H$11:$H$45,$A15)</f>
        <v>2</v>
      </c>
      <c r="H15" s="55" t="n">
        <f aca="false">SUMIF(Cronograma!$H$11:$H$45,$A15,Cronograma!$G$11:$G$45)*24</f>
        <v>2.5</v>
      </c>
      <c r="I15" s="16" t="str">
        <f aca="false">IF(G15=0,"Sin visitas",IF(G15=1,"Falta 2.ª visita","Dos visitas"))</f>
        <v>Dos visitas</v>
      </c>
    </row>
    <row r="16" customFormat="false" ht="30" hidden="false" customHeight="true" outlineLevel="0" collapsed="false">
      <c r="A16" s="56" t="s">
        <v>83</v>
      </c>
      <c r="B16" s="31" t="s">
        <v>84</v>
      </c>
      <c r="C16" s="31" t="s">
        <v>85</v>
      </c>
      <c r="D16" s="31" t="s">
        <v>86</v>
      </c>
      <c r="E16" s="57" t="n">
        <f aca="false">_xlfn.MINIFS(Cronograma!$C$11:$C$45,Cronograma!$H$11:$H$45,$A16,Cronograma!$B$11:$B$45,"1.ª visita")</f>
        <v>46323</v>
      </c>
      <c r="F16" s="57" t="n">
        <f aca="false">_xlfn.MINIFS(Cronograma!$C$11:$C$45,Cronograma!$H$11:$H$45,$A16,Cronograma!$B$11:$B$45,"2.ª visita")</f>
        <v>46335</v>
      </c>
      <c r="G16" s="24" t="n">
        <f aca="false">COUNTIF(Cronograma!$H$11:$H$45,$A16)</f>
        <v>2</v>
      </c>
      <c r="H16" s="58" t="n">
        <f aca="false">SUMIF(Cronograma!$H$11:$H$45,$A16,Cronograma!$G$11:$G$45)*24</f>
        <v>3.33333333333333</v>
      </c>
      <c r="I16" s="25" t="str">
        <f aca="false">IF(G16=0,"Sin visitas",IF(G16=1,"Falta 2.ª visita","Dos visitas"))</f>
        <v>Dos visitas</v>
      </c>
    </row>
    <row r="17" customFormat="false" ht="30" hidden="false" customHeight="true" outlineLevel="0" collapsed="false">
      <c r="A17" s="53" t="s">
        <v>89</v>
      </c>
      <c r="B17" s="22" t="s">
        <v>90</v>
      </c>
      <c r="C17" s="22" t="s">
        <v>91</v>
      </c>
      <c r="D17" s="22" t="s">
        <v>92</v>
      </c>
      <c r="E17" s="54" t="n">
        <f aca="false">_xlfn.MINIFS(Cronograma!$C$11:$C$45,Cronograma!$H$11:$H$45,$A17,Cronograma!$B$11:$B$45,"1.ª visita")</f>
        <v>46323</v>
      </c>
      <c r="F17" s="54" t="n">
        <f aca="false">_xlfn.MINIFS(Cronograma!$C$11:$C$45,Cronograma!$H$11:$H$45,$A17,Cronograma!$B$11:$B$45,"2.ª visita")</f>
        <v>46335</v>
      </c>
      <c r="G17" s="15" t="n">
        <f aca="false">COUNTIF(Cronograma!$H$11:$H$45,$A17)</f>
        <v>2</v>
      </c>
      <c r="H17" s="55" t="n">
        <f aca="false">SUMIF(Cronograma!$H$11:$H$45,$A17,Cronograma!$G$11:$G$45)*24</f>
        <v>3.33333333333333</v>
      </c>
      <c r="I17" s="16" t="str">
        <f aca="false">IF(G17=0,"Sin visitas",IF(G17=1,"Falta 2.ª visita","Dos visitas"))</f>
        <v>Dos visitas</v>
      </c>
    </row>
    <row r="18" customFormat="false" ht="30" hidden="false" customHeight="true" outlineLevel="0" collapsed="false">
      <c r="A18" s="56" t="s">
        <v>94</v>
      </c>
      <c r="B18" s="31" t="s">
        <v>95</v>
      </c>
      <c r="C18" s="31" t="s">
        <v>96</v>
      </c>
      <c r="D18" s="31" t="s">
        <v>97</v>
      </c>
      <c r="E18" s="57" t="n">
        <f aca="false">_xlfn.MINIFS(Cronograma!$C$11:$C$45,Cronograma!$H$11:$H$45,$A18,Cronograma!$B$11:$B$45,"1.ª visita")</f>
        <v>46323</v>
      </c>
      <c r="F18" s="57" t="n">
        <f aca="false">_xlfn.MINIFS(Cronograma!$C$11:$C$45,Cronograma!$H$11:$H$45,$A18,Cronograma!$B$11:$B$45,"2.ª visita")</f>
        <v>46335</v>
      </c>
      <c r="G18" s="24" t="n">
        <f aca="false">COUNTIF(Cronograma!$H$11:$H$45,$A18)</f>
        <v>2</v>
      </c>
      <c r="H18" s="58" t="n">
        <f aca="false">SUMIF(Cronograma!$H$11:$H$45,$A18,Cronograma!$G$11:$G$45)*24</f>
        <v>2.5</v>
      </c>
      <c r="I18" s="25" t="str">
        <f aca="false">IF(G18=0,"Sin visitas",IF(G18=1,"Falta 2.ª visita","Dos visitas"))</f>
        <v>Dos visitas</v>
      </c>
    </row>
    <row r="19" customFormat="false" ht="45.75" hidden="false" customHeight="true" outlineLevel="0" collapsed="false">
      <c r="A19" s="53" t="s">
        <v>99</v>
      </c>
      <c r="B19" s="22" t="s">
        <v>100</v>
      </c>
      <c r="C19" s="22" t="s">
        <v>101</v>
      </c>
      <c r="D19" s="22" t="s">
        <v>102</v>
      </c>
      <c r="E19" s="54" t="n">
        <f aca="false">_xlfn.MINIFS(Cronograma!$C$11:$C$45,Cronograma!$H$11:$H$45,$A19,Cronograma!$B$11:$B$45,"1.ª visita")</f>
        <v>46324</v>
      </c>
      <c r="F19" s="54" t="n">
        <f aca="false">_xlfn.MINIFS(Cronograma!$C$11:$C$45,Cronograma!$H$11:$H$45,$A19,Cronograma!$B$11:$B$45,"2.ª visita")</f>
        <v>46336</v>
      </c>
      <c r="G19" s="15" t="n">
        <f aca="false">COUNTIF(Cronograma!$H$11:$H$45,$A19)</f>
        <v>2</v>
      </c>
      <c r="H19" s="55" t="n">
        <f aca="false">SUMIF(Cronograma!$H$11:$H$45,$A19,Cronograma!$G$11:$G$45)*24</f>
        <v>3.33333333333333</v>
      </c>
      <c r="I19" s="16" t="str">
        <f aca="false">IF(G19=0,"Sin visitas",IF(G19=1,"Falta 2.ª visita","Dos visitas"))</f>
        <v>Dos visitas</v>
      </c>
    </row>
    <row r="20" customFormat="false" ht="30" hidden="false" customHeight="true" outlineLevel="0" collapsed="false">
      <c r="A20" s="56" t="s">
        <v>104</v>
      </c>
      <c r="B20" s="31" t="s">
        <v>105</v>
      </c>
      <c r="C20" s="31" t="s">
        <v>106</v>
      </c>
      <c r="D20" s="31" t="s">
        <v>107</v>
      </c>
      <c r="E20" s="57" t="n">
        <f aca="false">_xlfn.MINIFS(Cronograma!$C$11:$C$45,Cronograma!$H$11:$H$45,$A20,Cronograma!$B$11:$B$45,"1.ª visita")</f>
        <v>46324</v>
      </c>
      <c r="F20" s="57" t="n">
        <f aca="false">_xlfn.MINIFS(Cronograma!$C$11:$C$45,Cronograma!$H$11:$H$45,$A20,Cronograma!$B$11:$B$45,"2.ª visita")</f>
        <v>46336</v>
      </c>
      <c r="G20" s="24" t="n">
        <f aca="false">COUNTIF(Cronograma!$H$11:$H$45,$A20)</f>
        <v>2</v>
      </c>
      <c r="H20" s="58" t="n">
        <f aca="false">SUMIF(Cronograma!$H$11:$H$45,$A20,Cronograma!$G$11:$G$45)*24</f>
        <v>3.33333333333333</v>
      </c>
      <c r="I20" s="25" t="str">
        <f aca="false">IF(G20=0,"Sin visitas",IF(G20=1,"Falta 2.ª visita","Dos visitas"))</f>
        <v>Dos visitas</v>
      </c>
    </row>
    <row r="21" customFormat="false" ht="30" hidden="false" customHeight="true" outlineLevel="0" collapsed="false">
      <c r="A21" s="53" t="s">
        <v>148</v>
      </c>
      <c r="B21" s="22" t="s">
        <v>149</v>
      </c>
      <c r="C21" s="22" t="s">
        <v>150</v>
      </c>
      <c r="D21" s="22" t="s">
        <v>151</v>
      </c>
      <c r="E21" s="54" t="n">
        <f aca="false">_xlfn.MINIFS(Cronograma!$C$11:$C$45,Cronograma!$H$11:$H$45,$A21,Cronograma!$B$11:$B$45,"1.ª visita")</f>
        <v>0</v>
      </c>
      <c r="F21" s="54" t="n">
        <f aca="false">_xlfn.MINIFS(Cronograma!$C$11:$C$45,Cronograma!$H$11:$H$45,$A21,Cronograma!$B$11:$B$45,"2.ª visita")</f>
        <v>0</v>
      </c>
      <c r="G21" s="15" t="n">
        <f aca="false">COUNTIF(Cronograma!$H$11:$H$45,$A21)</f>
        <v>0</v>
      </c>
      <c r="H21" s="55" t="n">
        <f aca="false">SUMIF(Cronograma!$H$11:$H$45,$A21,Cronograma!$G$11:$G$45)*24</f>
        <v>0</v>
      </c>
      <c r="I21" s="16" t="str">
        <f aca="false">IF(G21=0,"Sin visitas",IF(G21=1,"Falta 2.ª visita","Dos visitas"))</f>
        <v>Sin visitas</v>
      </c>
    </row>
    <row r="22" customFormat="false" ht="30" hidden="false" customHeight="true" outlineLevel="0" collapsed="false">
      <c r="A22" s="56" t="s">
        <v>112</v>
      </c>
      <c r="B22" s="31" t="s">
        <v>113</v>
      </c>
      <c r="C22" s="31" t="s">
        <v>114</v>
      </c>
      <c r="D22" s="31" t="s">
        <v>115</v>
      </c>
      <c r="E22" s="57" t="n">
        <f aca="false">_xlfn.MINIFS(Cronograma!$C$11:$C$45,Cronograma!$H$11:$H$45,$A22,Cronograma!$B$11:$B$45,"1.ª visita")</f>
        <v>46328</v>
      </c>
      <c r="F22" s="57" t="n">
        <f aca="false">_xlfn.MINIFS(Cronograma!$C$11:$C$45,Cronograma!$H$11:$H$45,$A22,Cronograma!$B$11:$B$45,"2.ª visita")</f>
        <v>46337</v>
      </c>
      <c r="G22" s="24" t="n">
        <f aca="false">COUNTIF(Cronograma!$H$11:$H$45,$A22)</f>
        <v>2</v>
      </c>
      <c r="H22" s="58" t="n">
        <f aca="false">SUMIF(Cronograma!$H$11:$H$45,$A22,Cronograma!$G$11:$G$45)*24</f>
        <v>3.33333333333333</v>
      </c>
      <c r="I22" s="25" t="str">
        <f aca="false">IF(G22=0,"Sin visitas",IF(G22=1,"Falta 2.ª visita","Dos visitas"))</f>
        <v>Dos visitas</v>
      </c>
    </row>
    <row r="23" customFormat="false" ht="15" hidden="false" customHeight="false" outlineLevel="0" collapsed="false">
      <c r="A23" s="59"/>
      <c r="B23" s="59"/>
      <c r="C23" s="59"/>
      <c r="D23" s="60" t="s">
        <v>152</v>
      </c>
      <c r="E23" s="59"/>
      <c r="F23" s="59"/>
      <c r="G23" s="61" t="n">
        <f aca="false">SUM(G7:G22)</f>
        <v>30</v>
      </c>
      <c r="H23" s="62" t="n">
        <f aca="false">SUM(H7:H22)</f>
        <v>47.5</v>
      </c>
      <c r="I23" s="61" t="str">
        <f aca="false">COUNTIF(I7:I22,"Dos visitas")&amp;" de "&amp;COUNTA(A7:A22)&amp;" con dos visitas"</f>
        <v>15 de 16 con dos visitas</v>
      </c>
    </row>
  </sheetData>
  <mergeCells count="3">
    <mergeCell ref="A1:I1"/>
    <mergeCell ref="A2:I2"/>
    <mergeCell ref="A3:I3"/>
  </mergeCells>
  <conditionalFormatting sqref="I7:I22">
    <cfRule type="cellIs" priority="2" operator="equal" aboveAverage="0" equalAverage="0" bottom="0" percent="0" rank="0" text="" dxfId="0">
      <formula>"Dos visitas"</formula>
    </cfRule>
    <cfRule type="cellIs" priority="3" operator="equal" aboveAverage="0" equalAverage="0" bottom="0" percent="0" rank="0" text="" dxfId="1">
      <formula>"Falta 2.ª visita"</formula>
    </cfRule>
    <cfRule type="cellIs" priority="4" operator="equal" aboveAverage="0" equalAverage="0" bottom="0" percent="0" rank="0" text="" dxfId="2">
      <formula>"Sin visitas"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315F"/>
    <pageSetUpPr fitToPage="tru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5" min="3" style="0" width="30"/>
    <col collapsed="false" customWidth="true" hidden="false" outlineLevel="0" max="6" min="6" style="0" width="13"/>
    <col collapsed="false" customWidth="true" hidden="false" outlineLevel="0" max="7" min="7" style="0" width="46"/>
  </cols>
  <sheetData>
    <row r="1" customFormat="false" ht="30" hidden="false" customHeight="true" outlineLevel="0" collapsed="false">
      <c r="A1" s="1" t="s">
        <v>153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154</v>
      </c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  <c r="G4" s="4"/>
    </row>
    <row r="6" customFormat="false" ht="19.5" hidden="false" customHeight="true" outlineLevel="0" collapsed="false">
      <c r="A6" s="63" t="s">
        <v>155</v>
      </c>
      <c r="B6" s="63"/>
      <c r="C6" s="63"/>
      <c r="D6" s="63"/>
      <c r="E6" s="63"/>
      <c r="F6" s="63"/>
      <c r="G6" s="63"/>
    </row>
    <row r="7" customFormat="false" ht="21.75" hidden="false" customHeight="true" outlineLevel="0" collapsed="false">
      <c r="A7" s="13" t="s">
        <v>156</v>
      </c>
      <c r="B7" s="13"/>
      <c r="C7" s="13" t="s">
        <v>157</v>
      </c>
      <c r="D7" s="13"/>
      <c r="E7" s="13" t="s">
        <v>158</v>
      </c>
      <c r="F7" s="13"/>
      <c r="G7" s="13"/>
    </row>
    <row r="8" customFormat="false" ht="61.5" hidden="false" customHeight="true" outlineLevel="0" collapsed="false">
      <c r="A8" s="64" t="s">
        <v>159</v>
      </c>
      <c r="B8" s="64"/>
      <c r="C8" s="45" t="s">
        <v>160</v>
      </c>
      <c r="D8" s="45"/>
      <c r="E8" s="45" t="s">
        <v>161</v>
      </c>
      <c r="F8" s="45"/>
      <c r="G8" s="45"/>
    </row>
    <row r="9" customFormat="false" ht="61.5" hidden="false" customHeight="true" outlineLevel="0" collapsed="false">
      <c r="A9" s="64" t="s">
        <v>162</v>
      </c>
      <c r="B9" s="64"/>
      <c r="C9" s="45" t="s">
        <v>163</v>
      </c>
      <c r="D9" s="45"/>
      <c r="E9" s="45" t="s">
        <v>164</v>
      </c>
      <c r="F9" s="45"/>
      <c r="G9" s="45"/>
    </row>
    <row r="10" customFormat="false" ht="61.5" hidden="false" customHeight="true" outlineLevel="0" collapsed="false">
      <c r="A10" s="64" t="s">
        <v>165</v>
      </c>
      <c r="B10" s="64"/>
      <c r="C10" s="45" t="s">
        <v>166</v>
      </c>
      <c r="D10" s="45"/>
      <c r="E10" s="45" t="s">
        <v>167</v>
      </c>
      <c r="F10" s="45"/>
      <c r="G10" s="45"/>
    </row>
    <row r="11" customFormat="false" ht="19.5" hidden="false" customHeight="true" outlineLevel="0" collapsed="false">
      <c r="A11" s="63" t="s">
        <v>168</v>
      </c>
      <c r="B11" s="63"/>
      <c r="C11" s="63"/>
      <c r="D11" s="63"/>
      <c r="E11" s="63"/>
      <c r="F11" s="63"/>
      <c r="G11" s="63"/>
    </row>
    <row r="12" customFormat="false" ht="25.5" hidden="false" customHeight="true" outlineLevel="0" collapsed="false">
      <c r="A12" s="13" t="s">
        <v>27</v>
      </c>
      <c r="B12" s="13" t="s">
        <v>169</v>
      </c>
      <c r="C12" s="13" t="s">
        <v>159</v>
      </c>
      <c r="D12" s="13" t="s">
        <v>170</v>
      </c>
      <c r="E12" s="13" t="s">
        <v>171</v>
      </c>
      <c r="F12" s="13" t="s">
        <v>142</v>
      </c>
      <c r="G12" s="13" t="s">
        <v>172</v>
      </c>
    </row>
    <row r="13" customFormat="false" ht="33.75" hidden="false" customHeight="true" outlineLevel="0" collapsed="false">
      <c r="A13" s="44" t="s">
        <v>173</v>
      </c>
      <c r="B13" s="65" t="s">
        <v>174</v>
      </c>
      <c r="C13" s="66" t="s">
        <v>175</v>
      </c>
      <c r="D13" s="66" t="s">
        <v>176</v>
      </c>
      <c r="E13" s="66" t="s">
        <v>177</v>
      </c>
      <c r="F13" s="65" t="n">
        <f aca="false">COUNTIF(Cronograma!$P$11:$P$45,1)</f>
        <v>6</v>
      </c>
      <c r="G13" s="45" t="s">
        <v>178</v>
      </c>
    </row>
    <row r="14" customFormat="false" ht="33.75" hidden="false" customHeight="true" outlineLevel="0" collapsed="false">
      <c r="A14" s="44" t="s">
        <v>179</v>
      </c>
      <c r="B14" s="65" t="s">
        <v>180</v>
      </c>
      <c r="C14" s="66" t="s">
        <v>176</v>
      </c>
      <c r="D14" s="66" t="s">
        <v>177</v>
      </c>
      <c r="E14" s="66" t="s">
        <v>181</v>
      </c>
      <c r="F14" s="65" t="n">
        <f aca="false">COUNTIF(Cronograma!$P$11:$P$45,2)</f>
        <v>8</v>
      </c>
      <c r="G14" s="45" t="s">
        <v>182</v>
      </c>
    </row>
    <row r="15" customFormat="false" ht="33.75" hidden="false" customHeight="true" outlineLevel="0" collapsed="false">
      <c r="A15" s="44" t="s">
        <v>183</v>
      </c>
      <c r="B15" s="65" t="s">
        <v>184</v>
      </c>
      <c r="C15" s="66" t="s">
        <v>176</v>
      </c>
      <c r="D15" s="66" t="s">
        <v>177</v>
      </c>
      <c r="E15" s="66" t="s">
        <v>181</v>
      </c>
      <c r="F15" s="65" t="n">
        <f aca="false">COUNTIF(Cronograma!$P$11:$P$45,3)</f>
        <v>10</v>
      </c>
      <c r="G15" s="45" t="s">
        <v>185</v>
      </c>
    </row>
    <row r="16" customFormat="false" ht="33.75" hidden="false" customHeight="true" outlineLevel="0" collapsed="false">
      <c r="A16" s="44" t="s">
        <v>186</v>
      </c>
      <c r="B16" s="65" t="s">
        <v>187</v>
      </c>
      <c r="C16" s="66" t="s">
        <v>176</v>
      </c>
      <c r="D16" s="66" t="s">
        <v>177</v>
      </c>
      <c r="E16" s="66" t="s">
        <v>181</v>
      </c>
      <c r="F16" s="65" t="n">
        <f aca="false">COUNTIF(Cronograma!$P$11:$P$45,4)</f>
        <v>6</v>
      </c>
      <c r="G16" s="45" t="s">
        <v>188</v>
      </c>
    </row>
    <row r="18" customFormat="false" ht="27.75" hidden="false" customHeight="true" outlineLevel="0" collapsed="false">
      <c r="A18" s="67" t="s">
        <v>189</v>
      </c>
      <c r="B18" s="67"/>
      <c r="C18" s="67"/>
      <c r="D18" s="67"/>
      <c r="E18" s="67"/>
      <c r="F18" s="67"/>
      <c r="G18" s="67"/>
    </row>
  </sheetData>
  <mergeCells count="18">
    <mergeCell ref="A1:G1"/>
    <mergeCell ref="A2:G2"/>
    <mergeCell ref="A3:G3"/>
    <mergeCell ref="A6:G6"/>
    <mergeCell ref="A7:B7"/>
    <mergeCell ref="C7:D7"/>
    <mergeCell ref="E7:G7"/>
    <mergeCell ref="A8:B8"/>
    <mergeCell ref="C8:D8"/>
    <mergeCell ref="E8:G8"/>
    <mergeCell ref="A9:B9"/>
    <mergeCell ref="C9:D9"/>
    <mergeCell ref="E9:G9"/>
    <mergeCell ref="A10:B10"/>
    <mergeCell ref="C10:D10"/>
    <mergeCell ref="E10:G10"/>
    <mergeCell ref="A11:G11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2233"/>
    <pageSetUpPr fitToPage="tru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24"/>
    <col collapsed="false" customWidth="true" hidden="false" outlineLevel="0" max="5" min="5" style="0" width="60"/>
    <col collapsed="false" customWidth="true" hidden="false" outlineLevel="0" max="6" min="6" style="0" width="50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190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191</v>
      </c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3" hidden="false" customHeight="true" outlineLevel="0" collapsed="false">
      <c r="A4" s="4"/>
      <c r="B4" s="4"/>
      <c r="C4" s="4"/>
      <c r="D4" s="4"/>
      <c r="E4" s="4"/>
      <c r="F4" s="4"/>
      <c r="G4" s="4"/>
    </row>
    <row r="5" customFormat="false" ht="24" hidden="false" customHeight="true" outlineLevel="0" collapsed="false">
      <c r="A5" s="68" t="s">
        <v>192</v>
      </c>
      <c r="B5" s="68"/>
      <c r="C5" s="69" t="s">
        <v>193</v>
      </c>
      <c r="D5" s="70" t="s">
        <v>194</v>
      </c>
      <c r="E5" s="71" t="s">
        <v>195</v>
      </c>
      <c r="F5" s="72" t="s">
        <v>196</v>
      </c>
      <c r="G5" s="72"/>
    </row>
    <row r="6" customFormat="false" ht="30" hidden="false" customHeight="true" outlineLevel="0" collapsed="false">
      <c r="A6" s="73" t="n">
        <f aca="false">COUNTIF($B$9:$B$60,"Alta")</f>
        <v>7</v>
      </c>
      <c r="B6" s="73"/>
      <c r="C6" s="74" t="n">
        <f aca="false">COUNTIF($B$9:$B$60,"Media")</f>
        <v>9</v>
      </c>
      <c r="D6" s="75" t="n">
        <f aca="false">COUNTIF($B$9:$B$60,"Baja")</f>
        <v>6</v>
      </c>
      <c r="E6" s="76" t="n">
        <f aca="false">COUNTIF($G$9:$G$60,"Corregido")</f>
        <v>9</v>
      </c>
      <c r="F6" s="77" t="n">
        <f aca="false">COUNTIF($G$9:$G$60,"Por decidir")+COUNTIF($G$9:$G$60,"Por confirmar")</f>
        <v>13</v>
      </c>
      <c r="G6" s="77"/>
    </row>
    <row r="8" customFormat="false" ht="24" hidden="false" customHeight="true" outlineLevel="0" collapsed="false">
      <c r="A8" s="13" t="s">
        <v>12</v>
      </c>
      <c r="B8" s="13" t="s">
        <v>197</v>
      </c>
      <c r="C8" s="13" t="s">
        <v>198</v>
      </c>
      <c r="D8" s="13" t="s">
        <v>199</v>
      </c>
      <c r="E8" s="13" t="s">
        <v>200</v>
      </c>
      <c r="F8" s="13" t="s">
        <v>201</v>
      </c>
      <c r="G8" s="13" t="s">
        <v>147</v>
      </c>
    </row>
    <row r="9" customFormat="false" ht="51.75" hidden="false" customHeight="true" outlineLevel="0" collapsed="false">
      <c r="A9" s="15" t="n">
        <v>1</v>
      </c>
      <c r="B9" s="20" t="s">
        <v>202</v>
      </c>
      <c r="C9" s="15" t="s">
        <v>14</v>
      </c>
      <c r="D9" s="22" t="s">
        <v>203</v>
      </c>
      <c r="E9" s="22" t="s">
        <v>204</v>
      </c>
      <c r="F9" s="22" t="s">
        <v>205</v>
      </c>
      <c r="G9" s="20" t="s">
        <v>206</v>
      </c>
    </row>
    <row r="10" customFormat="false" ht="36" hidden="false" customHeight="true" outlineLevel="0" collapsed="false">
      <c r="A10" s="24" t="n">
        <v>2</v>
      </c>
      <c r="B10" s="29" t="s">
        <v>202</v>
      </c>
      <c r="C10" s="24" t="s">
        <v>14</v>
      </c>
      <c r="D10" s="31" t="s">
        <v>207</v>
      </c>
      <c r="E10" s="31" t="s">
        <v>208</v>
      </c>
      <c r="F10" s="31" t="s">
        <v>209</v>
      </c>
      <c r="G10" s="29" t="s">
        <v>210</v>
      </c>
    </row>
    <row r="11" customFormat="false" ht="51.75" hidden="false" customHeight="true" outlineLevel="0" collapsed="false">
      <c r="A11" s="15" t="n">
        <v>3</v>
      </c>
      <c r="B11" s="20" t="s">
        <v>202</v>
      </c>
      <c r="C11" s="15" t="s">
        <v>211</v>
      </c>
      <c r="D11" s="22" t="s">
        <v>212</v>
      </c>
      <c r="E11" s="22" t="s">
        <v>213</v>
      </c>
      <c r="F11" s="22" t="s">
        <v>214</v>
      </c>
      <c r="G11" s="20" t="s">
        <v>215</v>
      </c>
    </row>
    <row r="12" customFormat="false" ht="39" hidden="false" customHeight="true" outlineLevel="0" collapsed="false">
      <c r="A12" s="24" t="n">
        <v>4</v>
      </c>
      <c r="B12" s="29" t="s">
        <v>202</v>
      </c>
      <c r="C12" s="24" t="s">
        <v>211</v>
      </c>
      <c r="D12" s="31" t="s">
        <v>216</v>
      </c>
      <c r="E12" s="31" t="s">
        <v>217</v>
      </c>
      <c r="F12" s="31" t="s">
        <v>218</v>
      </c>
      <c r="G12" s="29" t="s">
        <v>215</v>
      </c>
    </row>
    <row r="13" customFormat="false" ht="39" hidden="false" customHeight="true" outlineLevel="0" collapsed="false">
      <c r="A13" s="15" t="n">
        <v>5</v>
      </c>
      <c r="B13" s="20" t="s">
        <v>202</v>
      </c>
      <c r="C13" s="15" t="s">
        <v>211</v>
      </c>
      <c r="D13" s="22" t="s">
        <v>219</v>
      </c>
      <c r="E13" s="22" t="s">
        <v>220</v>
      </c>
      <c r="F13" s="22" t="s">
        <v>221</v>
      </c>
      <c r="G13" s="20" t="s">
        <v>215</v>
      </c>
    </row>
    <row r="14" customFormat="false" ht="51.75" hidden="false" customHeight="true" outlineLevel="0" collapsed="false">
      <c r="A14" s="24" t="n">
        <v>6</v>
      </c>
      <c r="B14" s="29" t="s">
        <v>202</v>
      </c>
      <c r="C14" s="24" t="s">
        <v>222</v>
      </c>
      <c r="D14" s="31" t="s">
        <v>223</v>
      </c>
      <c r="E14" s="31" t="s">
        <v>224</v>
      </c>
      <c r="F14" s="31" t="s">
        <v>225</v>
      </c>
      <c r="G14" s="29" t="s">
        <v>215</v>
      </c>
    </row>
    <row r="15" customFormat="false" ht="64.5" hidden="false" customHeight="true" outlineLevel="0" collapsed="false">
      <c r="A15" s="15" t="n">
        <v>7</v>
      </c>
      <c r="B15" s="20" t="s">
        <v>202</v>
      </c>
      <c r="C15" s="15" t="s">
        <v>226</v>
      </c>
      <c r="D15" s="22" t="s">
        <v>227</v>
      </c>
      <c r="E15" s="22" t="s">
        <v>228</v>
      </c>
      <c r="F15" s="22" t="s">
        <v>229</v>
      </c>
      <c r="G15" s="20" t="s">
        <v>215</v>
      </c>
    </row>
    <row r="16" customFormat="false" ht="39" hidden="false" customHeight="true" outlineLevel="0" collapsed="false">
      <c r="A16" s="24" t="n">
        <v>8</v>
      </c>
      <c r="B16" s="29" t="s">
        <v>230</v>
      </c>
      <c r="C16" s="24" t="s">
        <v>231</v>
      </c>
      <c r="D16" s="31" t="s">
        <v>232</v>
      </c>
      <c r="E16" s="31" t="s">
        <v>233</v>
      </c>
      <c r="F16" s="31" t="s">
        <v>234</v>
      </c>
      <c r="G16" s="29" t="s">
        <v>206</v>
      </c>
    </row>
    <row r="17" customFormat="false" ht="36" hidden="false" customHeight="true" outlineLevel="0" collapsed="false">
      <c r="A17" s="15" t="n">
        <v>9</v>
      </c>
      <c r="B17" s="20" t="s">
        <v>230</v>
      </c>
      <c r="C17" s="15" t="s">
        <v>235</v>
      </c>
      <c r="D17" s="22" t="s">
        <v>236</v>
      </c>
      <c r="E17" s="22" t="s">
        <v>237</v>
      </c>
      <c r="F17" s="22" t="s">
        <v>238</v>
      </c>
      <c r="G17" s="20" t="s">
        <v>210</v>
      </c>
    </row>
    <row r="18" customFormat="false" ht="39" hidden="false" customHeight="true" outlineLevel="0" collapsed="false">
      <c r="A18" s="24" t="n">
        <v>10</v>
      </c>
      <c r="B18" s="29" t="s">
        <v>230</v>
      </c>
      <c r="C18" s="24" t="s">
        <v>239</v>
      </c>
      <c r="D18" s="31" t="s">
        <v>240</v>
      </c>
      <c r="E18" s="31" t="s">
        <v>241</v>
      </c>
      <c r="F18" s="31" t="s">
        <v>242</v>
      </c>
      <c r="G18" s="29" t="s">
        <v>206</v>
      </c>
    </row>
    <row r="19" customFormat="false" ht="51.75" hidden="false" customHeight="true" outlineLevel="0" collapsed="false">
      <c r="A19" s="15" t="n">
        <v>11</v>
      </c>
      <c r="B19" s="20" t="s">
        <v>230</v>
      </c>
      <c r="C19" s="15" t="s">
        <v>211</v>
      </c>
      <c r="D19" s="22" t="s">
        <v>243</v>
      </c>
      <c r="E19" s="22" t="s">
        <v>244</v>
      </c>
      <c r="F19" s="22" t="s">
        <v>245</v>
      </c>
      <c r="G19" s="20" t="s">
        <v>215</v>
      </c>
    </row>
    <row r="20" customFormat="false" ht="36" hidden="false" customHeight="true" outlineLevel="0" collapsed="false">
      <c r="A20" s="24" t="n">
        <v>12</v>
      </c>
      <c r="B20" s="29" t="s">
        <v>230</v>
      </c>
      <c r="C20" s="24" t="s">
        <v>66</v>
      </c>
      <c r="D20" s="31" t="s">
        <v>246</v>
      </c>
      <c r="E20" s="31" t="s">
        <v>247</v>
      </c>
      <c r="F20" s="31" t="s">
        <v>248</v>
      </c>
      <c r="G20" s="29" t="s">
        <v>206</v>
      </c>
    </row>
    <row r="21" customFormat="false" ht="51.75" hidden="false" customHeight="true" outlineLevel="0" collapsed="false">
      <c r="A21" s="15" t="n">
        <v>13</v>
      </c>
      <c r="B21" s="20" t="s">
        <v>230</v>
      </c>
      <c r="C21" s="15" t="s">
        <v>66</v>
      </c>
      <c r="D21" s="22" t="s">
        <v>249</v>
      </c>
      <c r="E21" s="22" t="s">
        <v>250</v>
      </c>
      <c r="F21" s="22" t="s">
        <v>251</v>
      </c>
      <c r="G21" s="20" t="s">
        <v>206</v>
      </c>
    </row>
    <row r="22" customFormat="false" ht="51.75" hidden="false" customHeight="true" outlineLevel="0" collapsed="false">
      <c r="A22" s="24" t="n">
        <v>14</v>
      </c>
      <c r="B22" s="29" t="s">
        <v>230</v>
      </c>
      <c r="C22" s="24" t="s">
        <v>66</v>
      </c>
      <c r="D22" s="31" t="s">
        <v>252</v>
      </c>
      <c r="E22" s="31" t="s">
        <v>253</v>
      </c>
      <c r="F22" s="31" t="s">
        <v>254</v>
      </c>
      <c r="G22" s="29" t="s">
        <v>210</v>
      </c>
    </row>
    <row r="23" customFormat="false" ht="36" hidden="false" customHeight="true" outlineLevel="0" collapsed="false">
      <c r="A23" s="15" t="n">
        <v>15</v>
      </c>
      <c r="B23" s="20" t="s">
        <v>230</v>
      </c>
      <c r="C23" s="15" t="s">
        <v>66</v>
      </c>
      <c r="D23" s="22" t="s">
        <v>255</v>
      </c>
      <c r="E23" s="22" t="s">
        <v>256</v>
      </c>
      <c r="F23" s="22" t="s">
        <v>257</v>
      </c>
      <c r="G23" s="20" t="s">
        <v>206</v>
      </c>
    </row>
    <row r="24" customFormat="false" ht="51.75" hidden="false" customHeight="true" outlineLevel="0" collapsed="false">
      <c r="A24" s="24" t="n">
        <v>16</v>
      </c>
      <c r="B24" s="29" t="s">
        <v>230</v>
      </c>
      <c r="C24" s="24" t="s">
        <v>258</v>
      </c>
      <c r="D24" s="31" t="s">
        <v>259</v>
      </c>
      <c r="E24" s="31" t="s">
        <v>260</v>
      </c>
      <c r="F24" s="31" t="s">
        <v>261</v>
      </c>
      <c r="G24" s="29" t="s">
        <v>206</v>
      </c>
    </row>
    <row r="25" customFormat="false" ht="36" hidden="false" customHeight="true" outlineLevel="0" collapsed="false">
      <c r="A25" s="15" t="n">
        <v>17</v>
      </c>
      <c r="B25" s="20" t="s">
        <v>262</v>
      </c>
      <c r="C25" s="15" t="s">
        <v>263</v>
      </c>
      <c r="D25" s="22" t="s">
        <v>264</v>
      </c>
      <c r="E25" s="22" t="s">
        <v>265</v>
      </c>
      <c r="F25" s="22" t="s">
        <v>266</v>
      </c>
      <c r="G25" s="20" t="s">
        <v>210</v>
      </c>
    </row>
    <row r="26" customFormat="false" ht="36" hidden="false" customHeight="true" outlineLevel="0" collapsed="false">
      <c r="A26" s="24" t="n">
        <v>18</v>
      </c>
      <c r="B26" s="29" t="s">
        <v>262</v>
      </c>
      <c r="C26" s="24" t="s">
        <v>263</v>
      </c>
      <c r="D26" s="31" t="s">
        <v>267</v>
      </c>
      <c r="E26" s="31" t="s">
        <v>268</v>
      </c>
      <c r="F26" s="31" t="s">
        <v>269</v>
      </c>
      <c r="G26" s="29" t="s">
        <v>210</v>
      </c>
    </row>
    <row r="27" customFormat="false" ht="39" hidden="false" customHeight="true" outlineLevel="0" collapsed="false">
      <c r="A27" s="15" t="n">
        <v>19</v>
      </c>
      <c r="B27" s="20" t="s">
        <v>262</v>
      </c>
      <c r="C27" s="15" t="s">
        <v>270</v>
      </c>
      <c r="D27" s="22" t="s">
        <v>271</v>
      </c>
      <c r="E27" s="22" t="s">
        <v>272</v>
      </c>
      <c r="F27" s="22" t="s">
        <v>273</v>
      </c>
      <c r="G27" s="20" t="s">
        <v>210</v>
      </c>
    </row>
    <row r="28" customFormat="false" ht="39" hidden="false" customHeight="true" outlineLevel="0" collapsed="false">
      <c r="A28" s="24" t="n">
        <v>20</v>
      </c>
      <c r="B28" s="29" t="s">
        <v>262</v>
      </c>
      <c r="C28" s="24" t="s">
        <v>274</v>
      </c>
      <c r="D28" s="31" t="s">
        <v>275</v>
      </c>
      <c r="E28" s="31" t="s">
        <v>276</v>
      </c>
      <c r="F28" s="31" t="s">
        <v>277</v>
      </c>
      <c r="G28" s="29" t="s">
        <v>210</v>
      </c>
    </row>
    <row r="29" customFormat="false" ht="39" hidden="false" customHeight="true" outlineLevel="0" collapsed="false">
      <c r="A29" s="15" t="n">
        <v>21</v>
      </c>
      <c r="B29" s="20" t="s">
        <v>262</v>
      </c>
      <c r="C29" s="15" t="s">
        <v>274</v>
      </c>
      <c r="D29" s="22" t="s">
        <v>278</v>
      </c>
      <c r="E29" s="22" t="s">
        <v>279</v>
      </c>
      <c r="F29" s="22" t="s">
        <v>280</v>
      </c>
      <c r="G29" s="20" t="s">
        <v>210</v>
      </c>
    </row>
    <row r="30" customFormat="false" ht="36" hidden="false" customHeight="true" outlineLevel="0" collapsed="false">
      <c r="A30" s="24" t="n">
        <v>22</v>
      </c>
      <c r="B30" s="29" t="s">
        <v>262</v>
      </c>
      <c r="C30" s="24" t="s">
        <v>270</v>
      </c>
      <c r="D30" s="31" t="s">
        <v>281</v>
      </c>
      <c r="E30" s="31" t="s">
        <v>282</v>
      </c>
      <c r="F30" s="31" t="s">
        <v>283</v>
      </c>
      <c r="G30" s="29" t="s">
        <v>210</v>
      </c>
    </row>
  </sheetData>
  <mergeCells count="7">
    <mergeCell ref="A1:G1"/>
    <mergeCell ref="A2:G2"/>
    <mergeCell ref="A3:G3"/>
    <mergeCell ref="A5:B5"/>
    <mergeCell ref="F5:G5"/>
    <mergeCell ref="A6:B6"/>
    <mergeCell ref="F6:G6"/>
  </mergeCells>
  <conditionalFormatting sqref="B9:B30">
    <cfRule type="cellIs" priority="2" operator="equal" aboveAverage="0" equalAverage="0" bottom="0" percent="0" rank="0" text="" dxfId="2">
      <formula>"Alta"</formula>
    </cfRule>
    <cfRule type="cellIs" priority="3" operator="equal" aboveAverage="0" equalAverage="0" bottom="0" percent="0" rank="0" text="" dxfId="1">
      <formula>"Media"</formula>
    </cfRule>
    <cfRule type="cellIs" priority="4" operator="equal" aboveAverage="0" equalAverage="0" bottom="0" percent="0" rank="0" text="" dxfId="8">
      <formula>"Baja"</formula>
    </cfRule>
  </conditionalFormatting>
  <conditionalFormatting sqref="G9:G30">
    <cfRule type="cellIs" priority="5" operator="equal" aboveAverage="0" equalAverage="0" bottom="0" percent="0" rank="0" text="" dxfId="0">
      <formula>"Corregido"</formula>
    </cfRule>
    <cfRule type="cellIs" priority="6" operator="equal" aboveAverage="0" equalAverage="0" bottom="0" percent="0" rank="0" text="" dxfId="2">
      <formula>"Por decidir"</formula>
    </cfRule>
    <cfRule type="cellIs" priority="7" operator="equal" aboveAverage="0" equalAverage="0" bottom="0" percent="0" rank="0" text="" dxfId="1">
      <formula>"Por confirmar"</formula>
    </cfRule>
  </conditionalFormatting>
  <dataValidations count="1">
    <dataValidation allowBlank="true" errorStyle="stop" operator="between" showDropDown="false" showErrorMessage="false" showInputMessage="false" sqref="G9:G30" type="list">
      <formula1>"Corregido,Por decidir,Por confirmar,Resuelto"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2026-10-15T23:52:05Z</dcterms:created>
  <dc:creator>Alvaro Rojas Carnero · OGPL-UNMSM</dc:creator>
  <dc:description/>
  <dc:language>en-US</dc:language>
  <cp:lastModifiedBy/>
  <dcterms:modified xsi:type="dcterms:W3CDTF">2026-10-15T23:52:05Z</dcterms:modified>
  <cp:revision>0</cp:revision>
  <dc:subject/>
  <dc:title>Cronograma de visitas FPSIC · Fase 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